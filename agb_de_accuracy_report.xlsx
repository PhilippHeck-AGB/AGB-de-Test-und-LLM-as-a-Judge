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2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3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myenbw-my.sharepoint.com/personal/p_heck_enbw_com/Documents/Desktop/Master/Masterarbeit/Diagramme und Auswertungen/Classification/"/>
    </mc:Choice>
  </mc:AlternateContent>
  <xr:revisionPtr revIDLastSave="378" documentId="11_73898337104A0FA75F21FD29870DA06D13B557CF" xr6:coauthVersionLast="47" xr6:coauthVersionMax="47" xr10:uidLastSave="{7A261EC8-F25C-4490-80AD-EA4DC868CB02}"/>
  <bookViews>
    <workbookView xWindow="-108" yWindow="-108" windowWidth="23256" windowHeight="12456" activeTab="1" xr2:uid="{00000000-000D-0000-FFFF-FFFF00000000}"/>
  </bookViews>
  <sheets>
    <sheet name="Daten" sheetId="1" r:id="rId1"/>
    <sheet name="Daten_Reduziert" sheetId="7" r:id="rId2"/>
    <sheet name="Precision, Recall, F1" sheetId="3" r:id="rId3"/>
    <sheet name="FP, FN, TP, TN" sheetId="2" r:id="rId4"/>
    <sheet name="Aussage" sheetId="6" r:id="rId5"/>
    <sheet name="Tabelle1" sheetId="4" r:id="rId6"/>
    <sheet name="Tabelle2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/DWexx4Yfb61T5R2rjzhIAL36DtzucMsVFI/1T3pwvo="/>
    </ext>
  </extLst>
</workbook>
</file>

<file path=xl/calcChain.xml><?xml version="1.0" encoding="utf-8"?>
<calcChain xmlns="http://schemas.openxmlformats.org/spreadsheetml/2006/main">
  <c r="G16" i="1" l="1"/>
  <c r="W3" i="1"/>
  <c r="W4" i="1"/>
  <c r="W5" i="1"/>
  <c r="W6" i="1"/>
  <c r="W7" i="1"/>
  <c r="W8" i="1"/>
  <c r="W9" i="1"/>
  <c r="W10" i="1"/>
  <c r="W11" i="1"/>
  <c r="W12" i="1"/>
  <c r="W13" i="1"/>
  <c r="W2" i="1"/>
  <c r="N13" i="7"/>
  <c r="O13" i="7" s="1"/>
  <c r="M13" i="7"/>
  <c r="L13" i="7"/>
  <c r="K13" i="7"/>
  <c r="N12" i="7"/>
  <c r="M12" i="7"/>
  <c r="L12" i="7"/>
  <c r="K12" i="7"/>
  <c r="N11" i="7"/>
  <c r="M11" i="7"/>
  <c r="L11" i="7"/>
  <c r="K11" i="7"/>
  <c r="N10" i="7"/>
  <c r="O10" i="7" s="1"/>
  <c r="M10" i="7"/>
  <c r="L10" i="7"/>
  <c r="K10" i="7"/>
  <c r="N9" i="7"/>
  <c r="M9" i="7"/>
  <c r="L9" i="7"/>
  <c r="K9" i="7"/>
  <c r="N8" i="7"/>
  <c r="M8" i="7"/>
  <c r="L8" i="7"/>
  <c r="K8" i="7"/>
  <c r="N7" i="7"/>
  <c r="O7" i="7" s="1"/>
  <c r="M7" i="7"/>
  <c r="L7" i="7"/>
  <c r="K7" i="7"/>
  <c r="N6" i="7"/>
  <c r="M6" i="7"/>
  <c r="L6" i="7"/>
  <c r="K6" i="7"/>
  <c r="N5" i="7"/>
  <c r="O5" i="7" s="1"/>
  <c r="M5" i="7"/>
  <c r="L5" i="7"/>
  <c r="K5" i="7"/>
  <c r="N4" i="7"/>
  <c r="M4" i="7"/>
  <c r="L4" i="7"/>
  <c r="K4" i="7"/>
  <c r="N3" i="7"/>
  <c r="M3" i="7"/>
  <c r="L3" i="7"/>
  <c r="K3" i="7"/>
  <c r="N2" i="7"/>
  <c r="M2" i="7"/>
  <c r="L2" i="7"/>
  <c r="K2" i="7"/>
  <c r="V3" i="1"/>
  <c r="V4" i="1"/>
  <c r="V5" i="1"/>
  <c r="V6" i="1"/>
  <c r="V7" i="1"/>
  <c r="V8" i="1"/>
  <c r="V9" i="1"/>
  <c r="V10" i="1"/>
  <c r="V11" i="1"/>
  <c r="V12" i="1"/>
  <c r="V13" i="1"/>
  <c r="V2" i="1"/>
  <c r="U3" i="1"/>
  <c r="U4" i="1"/>
  <c r="U5" i="1"/>
  <c r="U6" i="1"/>
  <c r="U7" i="1"/>
  <c r="U8" i="1"/>
  <c r="U9" i="1"/>
  <c r="U10" i="1"/>
  <c r="U11" i="1"/>
  <c r="U12" i="1"/>
  <c r="U13" i="1"/>
  <c r="U2" i="1"/>
  <c r="T3" i="1"/>
  <c r="T4" i="1"/>
  <c r="T5" i="1"/>
  <c r="T6" i="1"/>
  <c r="T7" i="1"/>
  <c r="T8" i="1"/>
  <c r="T9" i="1"/>
  <c r="T10" i="1"/>
  <c r="T11" i="1"/>
  <c r="T12" i="1"/>
  <c r="T13" i="1"/>
  <c r="S3" i="1"/>
  <c r="S4" i="1"/>
  <c r="S5" i="1"/>
  <c r="S6" i="1"/>
  <c r="S7" i="1"/>
  <c r="S8" i="1"/>
  <c r="S9" i="1"/>
  <c r="S10" i="1"/>
  <c r="S11" i="1"/>
  <c r="S12" i="1"/>
  <c r="S13" i="1"/>
  <c r="R3" i="1"/>
  <c r="R4" i="1"/>
  <c r="R5" i="1"/>
  <c r="R6" i="1"/>
  <c r="R7" i="1"/>
  <c r="R8" i="1"/>
  <c r="R9" i="1"/>
  <c r="R10" i="1"/>
  <c r="R11" i="1"/>
  <c r="R12" i="1"/>
  <c r="R13" i="1"/>
  <c r="T2" i="1"/>
  <c r="X8" i="1"/>
  <c r="O4" i="7" l="1"/>
  <c r="O2" i="7"/>
  <c r="O8" i="7"/>
  <c r="O11" i="7"/>
  <c r="O3" i="7"/>
  <c r="O6" i="7"/>
  <c r="O9" i="7"/>
  <c r="O12" i="7"/>
  <c r="S2" i="1"/>
  <c r="R2" i="1"/>
  <c r="S2" i="5"/>
  <c r="R2" i="5"/>
  <c r="S6" i="5"/>
  <c r="R6" i="5"/>
  <c r="S13" i="5"/>
  <c r="R13" i="5"/>
  <c r="S8" i="5"/>
  <c r="R8" i="5"/>
  <c r="S5" i="5"/>
  <c r="R5" i="5"/>
  <c r="S11" i="5"/>
  <c r="R11" i="5"/>
  <c r="S9" i="5"/>
  <c r="R9" i="5"/>
  <c r="S10" i="5"/>
  <c r="R10" i="5"/>
  <c r="S7" i="5"/>
  <c r="R7" i="5"/>
  <c r="S12" i="5"/>
  <c r="R12" i="5"/>
  <c r="S3" i="5"/>
  <c r="R3" i="5"/>
  <c r="S4" i="5"/>
  <c r="R4" i="5"/>
  <c r="S21" i="5"/>
  <c r="R21" i="5"/>
  <c r="X13" i="4"/>
  <c r="W13" i="4"/>
  <c r="X12" i="4"/>
  <c r="W12" i="4"/>
  <c r="X11" i="4"/>
  <c r="W11" i="4"/>
  <c r="X10" i="4"/>
  <c r="W10" i="4"/>
  <c r="X9" i="4"/>
  <c r="W9" i="4"/>
  <c r="X8" i="4"/>
  <c r="W8" i="4"/>
  <c r="X7" i="4"/>
  <c r="W7" i="4"/>
  <c r="X6" i="4"/>
  <c r="W6" i="4"/>
  <c r="X5" i="4"/>
  <c r="W5" i="4"/>
  <c r="X4" i="4"/>
  <c r="W4" i="4"/>
  <c r="X3" i="4"/>
  <c r="W3" i="4"/>
  <c r="X2" i="4"/>
  <c r="W2" i="4"/>
  <c r="X13" i="1"/>
  <c r="X12" i="1"/>
  <c r="X11" i="1"/>
  <c r="X10" i="1"/>
  <c r="X9" i="1"/>
  <c r="X7" i="1"/>
  <c r="X6" i="1"/>
  <c r="X5" i="1"/>
  <c r="X4" i="1"/>
  <c r="X3" i="1"/>
  <c r="X2" i="1"/>
</calcChain>
</file>

<file path=xl/sharedStrings.xml><?xml version="1.0" encoding="utf-8"?>
<sst xmlns="http://schemas.openxmlformats.org/spreadsheetml/2006/main" count="432" uniqueCount="244">
  <si>
    <t>Modell</t>
  </si>
  <si>
    <t>Gesamtanzahl</t>
  </si>
  <si>
    <t>Anzahl_Klassifikationen</t>
  </si>
  <si>
    <t>Fehlende ('-'/NaN/leer)</t>
  </si>
  <si>
    <t>Accuracy (bereinigt)</t>
  </si>
  <si>
    <t>TP</t>
  </si>
  <si>
    <t>FP</t>
  </si>
  <si>
    <t>FN</t>
  </si>
  <si>
    <t>TN</t>
  </si>
  <si>
    <t>Precision (Unwirksam)</t>
  </si>
  <si>
    <t>Recall (Unwirksam)</t>
  </si>
  <si>
    <t>F1 (Unwirksam)</t>
  </si>
  <si>
    <t>Precision (Wirksam)</t>
  </si>
  <si>
    <t>Recall (Wirksam)</t>
  </si>
  <si>
    <t>F1 (Wirksam)</t>
  </si>
  <si>
    <t>F1 (macro)</t>
  </si>
  <si>
    <t>F1 (weighted)</t>
  </si>
  <si>
    <t>Total analysiert</t>
  </si>
  <si>
    <t>Grok</t>
  </si>
  <si>
    <t>AzureOAI4</t>
  </si>
  <si>
    <t>AzureOAI5</t>
  </si>
  <si>
    <t>Llama3DiscoLeo</t>
  </si>
  <si>
    <t>DeepseekR1</t>
  </si>
  <si>
    <t>Mistral</t>
  </si>
  <si>
    <t>Gemma</t>
  </si>
  <si>
    <t>LLama3_8b</t>
  </si>
  <si>
    <t>OSS120b</t>
  </si>
  <si>
    <t>OSS20B</t>
  </si>
  <si>
    <t>GeminiFlashLite</t>
  </si>
  <si>
    <t>Positive - Unwirksam</t>
  </si>
  <si>
    <t>Negative - Wirksam</t>
  </si>
  <si>
    <t>Fall</t>
  </si>
  <si>
    <t>Was sagt Ground Truth?</t>
  </si>
  <si>
    <t>Was sagt Modell?</t>
  </si>
  <si>
    <t>Ergebnis</t>
  </si>
  <si>
    <t>Bedeutung im Beispiel</t>
  </si>
  <si>
    <r>
      <t xml:space="preserve">Klausel </t>
    </r>
    <r>
      <rPr>
        <b/>
        <sz val="11"/>
        <color theme="1"/>
        <rFont val="Calibri"/>
        <scheme val="minor"/>
      </rPr>
      <t>unwirksam</t>
    </r>
  </si>
  <si>
    <r>
      <t xml:space="preserve">Modell sagt </t>
    </r>
    <r>
      <rPr>
        <b/>
        <sz val="11"/>
        <color theme="1"/>
        <rFont val="Calibri"/>
        <scheme val="minor"/>
      </rPr>
      <t>unwirksam</t>
    </r>
  </si>
  <si>
    <t>✅ Richtig</t>
  </si>
  <si>
    <t>Das Modell erkennt korrekt, dass die Klausel unwirksam ist.</t>
  </si>
  <si>
    <r>
      <t xml:space="preserve">Klausel </t>
    </r>
    <r>
      <rPr>
        <b/>
        <sz val="11"/>
        <color theme="1"/>
        <rFont val="Calibri"/>
        <scheme val="minor"/>
      </rPr>
      <t>wirksam</t>
    </r>
  </si>
  <si>
    <r>
      <t xml:space="preserve">Modell sagt </t>
    </r>
    <r>
      <rPr>
        <b/>
        <sz val="11"/>
        <color theme="1"/>
        <rFont val="Calibri"/>
        <scheme val="minor"/>
      </rPr>
      <t>wirksam</t>
    </r>
  </si>
  <si>
    <t>Das Modell erkennt korrekt, dass die Klausel wirksam ist.</t>
  </si>
  <si>
    <t>❌ Falsch</t>
  </si>
  <si>
    <t>Das Modell hält eine gültige Klausel fälschlich für unwirksam.</t>
  </si>
  <si>
    <t>Das Modell übersieht eine wirklich unwirksame Klausel.</t>
  </si>
  <si>
    <t>Macro_Precision</t>
  </si>
  <si>
    <t>Micro Prec</t>
  </si>
  <si>
    <t>AzureOAI_O4-mini</t>
  </si>
  <si>
    <t>Geschätzte Parameterzahl</t>
  </si>
  <si>
    <t>Architektur / Hinweis</t>
  </si>
  <si>
    <t>Reasoning-Optimiert?</t>
  </si>
  <si>
    <t>Grok-3</t>
  </si>
  <si>
    <t>~2,7 T (inoffiziell)</t>
  </si>
  <si>
    <t>MoE, „think“ Modi</t>
  </si>
  <si>
    <t>Ja</t>
  </si>
  <si>
    <r>
      <t>GPT‑4</t>
    </r>
    <r>
      <rPr>
        <sz val="11"/>
        <color theme="1"/>
        <rFont val="Calibri"/>
        <family val="2"/>
        <scheme val="minor"/>
      </rPr>
      <t xml:space="preserve"> (OAI‑4)</t>
    </r>
  </si>
  <si>
    <t>~1,7 T – 1,8 T (Schätzung)</t>
  </si>
  <si>
    <t>Mixture-of-Experts, mehrere Submodelle (Wikipedia, Wikipedia, gettalkative.com, encord.com)</t>
  </si>
  <si>
    <r>
      <t>GPT-5</t>
    </r>
    <r>
      <rPr>
        <sz val="11"/>
        <color theme="1"/>
        <rFont val="Calibri"/>
        <family val="2"/>
        <scheme val="minor"/>
      </rPr>
      <t xml:space="preserve"> (OAI-5)</t>
    </r>
  </si>
  <si>
    <t>Unbekannt (evtl. ≥ GPT-4)</t>
  </si>
  <si>
    <t>Keine offiziellen Angaben; Spekulationen bis zu 17 T (Medium, DataCamp)</t>
  </si>
  <si>
    <t>DeepSeek-R1</t>
  </si>
  <si>
    <t>671 B (total), ~37 B aktiv</t>
  </si>
  <si>
    <t>MoE, Reasoning-optimiert</t>
  </si>
  <si>
    <t>Mistral-Large</t>
  </si>
  <si>
    <t>123 B</t>
  </si>
  <si>
    <t>Dense Decoder-Only</t>
  </si>
  <si>
    <t>Nein</t>
  </si>
  <si>
    <t>GPT-OSS-120B</t>
  </si>
  <si>
    <t>117 B (total), ~5.1 B aktiv</t>
  </si>
  <si>
    <t>MoE, open-weight</t>
  </si>
  <si>
    <t>Teilweise (Prompt-CoT)</t>
  </si>
  <si>
    <t>LLaMA 3 (70B)</t>
  </si>
  <si>
    <t>70 B</t>
  </si>
  <si>
    <t>Gemma 3 (27B)</t>
  </si>
  <si>
    <t>27 B</t>
  </si>
  <si>
    <t>Multimodal, large context window</t>
  </si>
  <si>
    <t>GPT-OSS-20B / OSS-20B</t>
  </si>
  <si>
    <t>21 B (total), ~3.6 B aktiv</t>
  </si>
  <si>
    <t>Ministral-8B</t>
  </si>
  <si>
    <t>8 B</t>
  </si>
  <si>
    <t>Lightweight Decoder-Only</t>
  </si>
  <si>
    <t>LLaMA 3-8B Varianten</t>
  </si>
  <si>
    <t>Lightweight Dense model versions</t>
  </si>
  <si>
    <t>Mistral 7B</t>
  </si>
  <si>
    <t>7.3 B</t>
  </si>
  <si>
    <t>Compact Dense model</t>
  </si>
  <si>
    <t>Gemini Flash-Lite 2.5</t>
  </si>
  <si>
    <t>Unbekannt (&lt;7B vermutlich)</t>
  </si>
  <si>
    <t>Optimized für Effizienz, große Kontextfenster</t>
  </si>
  <si>
    <t>Grok (Original)</t>
  </si>
  <si>
    <t>Unbekannt</t>
  </si>
  <si>
    <t>Vorgängerversion von Grok-3</t>
  </si>
  <si>
    <t>Vermutlich „ja“</t>
  </si>
  <si>
    <t>Recall</t>
  </si>
  <si>
    <t>Precision      (Unwirksam)</t>
  </si>
  <si>
    <t>Recall      (Unwirksam)</t>
  </si>
  <si>
    <t>F1      (Unwirksam)</t>
  </si>
  <si>
    <t>Precision      (Wirksam)</t>
  </si>
  <si>
    <t>F1                           (Wirksam)</t>
  </si>
  <si>
    <t>F1           (macro)</t>
  </si>
  <si>
    <t>F1                 (weighted)</t>
  </si>
  <si>
    <t>Precision       Macro</t>
  </si>
  <si>
    <t xml:space="preserve"> Prec                 Micro</t>
  </si>
  <si>
    <t>F1</t>
  </si>
  <si>
    <t>Prec</t>
  </si>
  <si>
    <t>GPT5</t>
  </si>
  <si>
    <t>GPT4</t>
  </si>
  <si>
    <t>OSS120B</t>
  </si>
  <si>
    <t>GPT o4-mini</t>
  </si>
  <si>
    <t>Gemma27B</t>
  </si>
  <si>
    <t>Mistral8B</t>
  </si>
  <si>
    <t>LLama38B</t>
  </si>
  <si>
    <t>Llama3DiscoLeo8B</t>
  </si>
  <si>
    <t>GeminiFlashLite2.5</t>
  </si>
  <si>
    <t>Accuracy_neu</t>
  </si>
  <si>
    <t>Precision_unwirksam</t>
  </si>
  <si>
    <t>Recall_unwirksam</t>
  </si>
  <si>
    <t>F1_unwirksam</t>
  </si>
  <si>
    <t>Precision_wirksam</t>
  </si>
  <si>
    <t>Recall_wirksam</t>
  </si>
  <si>
    <t>F1_wirksam</t>
  </si>
  <si>
    <t>F1_macro</t>
  </si>
  <si>
    <t>F1_weighted</t>
  </si>
  <si>
    <t>0.743</t>
  </si>
  <si>
    <t>0.109</t>
  </si>
  <si>
    <t>0.642</t>
  </si>
  <si>
    <t>0.186</t>
  </si>
  <si>
    <t>0.978</t>
  </si>
  <si>
    <t>0.748</t>
  </si>
  <si>
    <t>0.847</t>
  </si>
  <si>
    <t>0.517</t>
  </si>
  <si>
    <t>0.817</t>
  </si>
  <si>
    <t>0.793</t>
  </si>
  <si>
    <t>0.132</t>
  </si>
  <si>
    <t>0.635</t>
  </si>
  <si>
    <t>0.219</t>
  </si>
  <si>
    <t>0.979</t>
  </si>
  <si>
    <t>0.8</t>
  </si>
  <si>
    <t>0.88</t>
  </si>
  <si>
    <t>0.55</t>
  </si>
  <si>
    <t>0.85</t>
  </si>
  <si>
    <t>0.802</t>
  </si>
  <si>
    <t>0.12</t>
  </si>
  <si>
    <t>0.526</t>
  </si>
  <si>
    <t>0.195</t>
  </si>
  <si>
    <t>0.973</t>
  </si>
  <si>
    <t>0.815</t>
  </si>
  <si>
    <t>0.887</t>
  </si>
  <si>
    <t>0.541</t>
  </si>
  <si>
    <t>0.855</t>
  </si>
  <si>
    <t>0.728</t>
  </si>
  <si>
    <t>0.067</t>
  </si>
  <si>
    <t>0.39</t>
  </si>
  <si>
    <t>0.115</t>
  </si>
  <si>
    <t>0.963</t>
  </si>
  <si>
    <t>0.744</t>
  </si>
  <si>
    <t>0.839</t>
  </si>
  <si>
    <t>0.477</t>
  </si>
  <si>
    <t>0.806</t>
  </si>
  <si>
    <t>0.886</t>
  </si>
  <si>
    <t>0.163</t>
  </si>
  <si>
    <t>0.368</t>
  </si>
  <si>
    <t>0.226</t>
  </si>
  <si>
    <t>0.968</t>
  </si>
  <si>
    <t>0.91</t>
  </si>
  <si>
    <t>0.938</t>
  </si>
  <si>
    <t>0.582</t>
  </si>
  <si>
    <t>0.906</t>
  </si>
  <si>
    <t>0.702</t>
  </si>
  <si>
    <t>0.082</t>
  </si>
  <si>
    <t>0.54</t>
  </si>
  <si>
    <t>0.142</t>
  </si>
  <si>
    <t>0.97</t>
  </si>
  <si>
    <t>0.71</t>
  </si>
  <si>
    <t>0.82</t>
  </si>
  <si>
    <t>0.481</t>
  </si>
  <si>
    <t>0.789</t>
  </si>
  <si>
    <t>0.449</t>
  </si>
  <si>
    <t>0.059</t>
  </si>
  <si>
    <t>0.11</t>
  </si>
  <si>
    <t>0.435</t>
  </si>
  <si>
    <t>0.601</t>
  </si>
  <si>
    <t>0.355</t>
  </si>
  <si>
    <t>0.579</t>
  </si>
  <si>
    <t>0.693</t>
  </si>
  <si>
    <t>0.087</t>
  </si>
  <si>
    <t>0.603</t>
  </si>
  <si>
    <t>0.152</t>
  </si>
  <si>
    <t>0.974</t>
  </si>
  <si>
    <t>0.697</t>
  </si>
  <si>
    <t>0.812</t>
  </si>
  <si>
    <t>0.482</t>
  </si>
  <si>
    <t>0.782</t>
  </si>
  <si>
    <t>0.78</t>
  </si>
  <si>
    <t>0.1</t>
  </si>
  <si>
    <t>0.478</t>
  </si>
  <si>
    <t>0.165</t>
  </si>
  <si>
    <t>0.794</t>
  </si>
  <si>
    <t>0.873</t>
  </si>
  <si>
    <t>0.519</t>
  </si>
  <si>
    <t>0.841</t>
  </si>
  <si>
    <t>0.719</t>
  </si>
  <si>
    <t>0.089</t>
  </si>
  <si>
    <t>0.562</t>
  </si>
  <si>
    <t>0.154</t>
  </si>
  <si>
    <t>0.972</t>
  </si>
  <si>
    <t>0.726</t>
  </si>
  <si>
    <t>0.831</t>
  </si>
  <si>
    <t>0.493</t>
  </si>
  <si>
    <t>0.329</t>
  </si>
  <si>
    <t>0.06</t>
  </si>
  <si>
    <t>0.941</t>
  </si>
  <si>
    <t>0.113</t>
  </si>
  <si>
    <t>0.991</t>
  </si>
  <si>
    <t>0.3</t>
  </si>
  <si>
    <t>0.46</t>
  </si>
  <si>
    <t>0.287</t>
  </si>
  <si>
    <t>0.444</t>
  </si>
  <si>
    <t>0.849</t>
  </si>
  <si>
    <t>0.114</t>
  </si>
  <si>
    <t>0.343</t>
  </si>
  <si>
    <t>0.172</t>
  </si>
  <si>
    <t>0.965</t>
  </si>
  <si>
    <t>0.917</t>
  </si>
  <si>
    <t>0.544</t>
  </si>
  <si>
    <t>0.883</t>
  </si>
  <si>
    <t>„Von allen Klauseln, die das Modell als positiv (z. B. „unwirksam“) vorhersagt, wie viele sind tatsächlich positiv?“</t>
  </si>
  <si>
    <r>
      <t xml:space="preserve">Von allen Klauseln, die tatsächlich </t>
    </r>
    <r>
      <rPr>
        <b/>
        <sz val="11"/>
        <color theme="1"/>
        <rFont val="Calibri"/>
        <family val="2"/>
        <scheme val="minor"/>
      </rPr>
      <t>positiv</t>
    </r>
    <r>
      <rPr>
        <sz val="11"/>
        <color theme="1"/>
        <rFont val="Calibri"/>
        <family val="2"/>
        <scheme val="minor"/>
      </rPr>
      <t xml:space="preserve"> sind, wie viele erkennt das Modell korrekt?“</t>
    </r>
  </si>
  <si>
    <t>„Wie gut balanciert das Modell Genauigkeit und Vollständigkeit?“</t>
  </si>
  <si>
    <t>MCC</t>
  </si>
  <si>
    <t>Rang (nach MCC)</t>
  </si>
  <si>
    <t>0.22</t>
  </si>
  <si>
    <t>0.191</t>
  </si>
  <si>
    <t>0.184</t>
  </si>
  <si>
    <t>0.177</t>
  </si>
  <si>
    <t>0.137</t>
  </si>
  <si>
    <t>0.134</t>
  </si>
  <si>
    <t>0.133</t>
  </si>
  <si>
    <t>0.131</t>
  </si>
  <si>
    <t>0.111</t>
  </si>
  <si>
    <t>0.077</t>
  </si>
  <si>
    <t>0.063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</si>
</sst>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horizontal="left" vertical="top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right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top" wrapText="1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3" xfId="0" applyFont="1" applyBorder="1"/>
    <xf numFmtId="0" fontId="2" fillId="0" borderId="0" xfId="0" applyFont="1"/>
    <xf numFmtId="0" fontId="5" fillId="0" borderId="1" xfId="0" applyFont="1" applyBorder="1" applyAlignment="1">
      <alignment horizontal="center" vertical="top" wrapText="1"/>
    </xf>
    <xf numFmtId="164" fontId="0" fillId="0" borderId="0" xfId="0" applyNumberFormat="1"/>
    <xf numFmtId="0" fontId="0" fillId="0" borderId="0" xfId="0" applyAlignment="1">
      <alignment horizontal="right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5" fillId="0" borderId="0" xfId="0" applyFont="1"/>
    <xf numFmtId="0" fontId="0" fillId="2" borderId="0" xfId="0" applyFill="1"/>
    <xf numFmtId="0" fontId="0" fillId="2" borderId="0" xfId="0" applyFill="1" applyAlignment="1">
      <alignment horizontal="right"/>
    </xf>
    <xf numFmtId="164" fontId="0" fillId="2" borderId="0" xfId="0" applyNumberForma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MCC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21"/>
          <c:order val="21"/>
          <c:tx>
            <c:strRef>
              <c:f>Daten!$W$1</c:f>
              <c:strCache>
                <c:ptCount val="1"/>
                <c:pt idx="0">
                  <c:v>MCC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Daten!$A$2:$A$13</c:f>
              <c:strCache>
                <c:ptCount val="12"/>
                <c:pt idx="0">
                  <c:v>Grok-3</c:v>
                </c:pt>
                <c:pt idx="1">
                  <c:v>GPT5</c:v>
                </c:pt>
                <c:pt idx="2">
                  <c:v>GPT4</c:v>
                </c:pt>
                <c:pt idx="3">
                  <c:v>OSS120B</c:v>
                </c:pt>
                <c:pt idx="4">
                  <c:v>GPT o4-mini</c:v>
                </c:pt>
                <c:pt idx="5">
                  <c:v>DeepseekR1</c:v>
                </c:pt>
                <c:pt idx="6">
                  <c:v>OSS20B</c:v>
                </c:pt>
                <c:pt idx="7">
                  <c:v>Gemma27B</c:v>
                </c:pt>
                <c:pt idx="8">
                  <c:v>Mistral8B</c:v>
                </c:pt>
                <c:pt idx="9">
                  <c:v>LLama38B</c:v>
                </c:pt>
                <c:pt idx="10">
                  <c:v>Llama3DiscoLeo8B</c:v>
                </c:pt>
                <c:pt idx="11">
                  <c:v>GeminiFlashLite2.5</c:v>
                </c:pt>
              </c:strCache>
            </c:strRef>
          </c:cat>
          <c:val>
            <c:numRef>
              <c:f>Daten!$W$2:$W$13</c:f>
              <c:numCache>
                <c:formatCode>0.000</c:formatCode>
                <c:ptCount val="12"/>
                <c:pt idx="0">
                  <c:v>0.18356926633320153</c:v>
                </c:pt>
                <c:pt idx="1">
                  <c:v>0.21978937969481938</c:v>
                </c:pt>
                <c:pt idx="2">
                  <c:v>0.17739295172245745</c:v>
                </c:pt>
                <c:pt idx="3">
                  <c:v>6.3174114044420318E-2</c:v>
                </c:pt>
                <c:pt idx="4">
                  <c:v>0.19119375865872854</c:v>
                </c:pt>
                <c:pt idx="5">
                  <c:v>0.11377635994651038</c:v>
                </c:pt>
                <c:pt idx="6">
                  <c:v>7.7021279474875484E-2</c:v>
                </c:pt>
                <c:pt idx="7">
                  <c:v>0.13446509552169569</c:v>
                </c:pt>
                <c:pt idx="8">
                  <c:v>0.13731942181955628</c:v>
                </c:pt>
                <c:pt idx="9">
                  <c:v>0.13286967257948201</c:v>
                </c:pt>
                <c:pt idx="10">
                  <c:v>0.1106808522933104</c:v>
                </c:pt>
                <c:pt idx="11">
                  <c:v>0.13109605502729524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E4-4211-9024-219395C413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1157056"/>
        <c:axId val="110115273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Daten!$B$1</c15:sqref>
                        </c15:formulaRef>
                      </c:ext>
                    </c:extLst>
                    <c:strCache>
                      <c:ptCount val="1"/>
                      <c:pt idx="0">
                        <c:v>Gesamtanzahl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Daten!$B$2:$B$13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3004</c:v>
                      </c:pt>
                      <c:pt idx="1">
                        <c:v>3004</c:v>
                      </c:pt>
                      <c:pt idx="2">
                        <c:v>3004</c:v>
                      </c:pt>
                      <c:pt idx="3">
                        <c:v>3004</c:v>
                      </c:pt>
                      <c:pt idx="4">
                        <c:v>3004</c:v>
                      </c:pt>
                      <c:pt idx="5">
                        <c:v>3004</c:v>
                      </c:pt>
                      <c:pt idx="6">
                        <c:v>3004</c:v>
                      </c:pt>
                      <c:pt idx="7">
                        <c:v>3004</c:v>
                      </c:pt>
                      <c:pt idx="8">
                        <c:v>3004</c:v>
                      </c:pt>
                      <c:pt idx="9">
                        <c:v>3004</c:v>
                      </c:pt>
                      <c:pt idx="10">
                        <c:v>3004</c:v>
                      </c:pt>
                      <c:pt idx="11">
                        <c:v>3004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F6C9-4E02-8E4F-C2157046295A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Daten!$C$1</c15:sqref>
                        </c15:formulaRef>
                      </c:ext>
                    </c:extLst>
                    <c:strCache>
                      <c:ptCount val="1"/>
                      <c:pt idx="0">
                        <c:v>Anzahl_Klassifikationen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Daten!$C$2:$C$13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2996</c:v>
                      </c:pt>
                      <c:pt idx="1">
                        <c:v>2990</c:v>
                      </c:pt>
                      <c:pt idx="2">
                        <c:v>2998</c:v>
                      </c:pt>
                      <c:pt idx="3">
                        <c:v>3002</c:v>
                      </c:pt>
                      <c:pt idx="4">
                        <c:v>2996</c:v>
                      </c:pt>
                      <c:pt idx="5">
                        <c:v>2998</c:v>
                      </c:pt>
                      <c:pt idx="6">
                        <c:v>2973</c:v>
                      </c:pt>
                      <c:pt idx="7">
                        <c:v>2989</c:v>
                      </c:pt>
                      <c:pt idx="8">
                        <c:v>2996</c:v>
                      </c:pt>
                      <c:pt idx="9">
                        <c:v>3002</c:v>
                      </c:pt>
                      <c:pt idx="10">
                        <c:v>2995</c:v>
                      </c:pt>
                      <c:pt idx="11">
                        <c:v>3000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6C9-4E02-8E4F-C2157046295A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Daten!$D$1</c15:sqref>
                        </c15:formulaRef>
                      </c:ext>
                    </c:extLst>
                    <c:strCache>
                      <c:ptCount val="1"/>
                      <c:pt idx="0">
                        <c:v>Fehlende ('-'/NaN/leer)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Daten!$D$2:$D$13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</c:v>
                      </c:pt>
                      <c:pt idx="1">
                        <c:v>14</c:v>
                      </c:pt>
                      <c:pt idx="2">
                        <c:v>6</c:v>
                      </c:pt>
                      <c:pt idx="3">
                        <c:v>2</c:v>
                      </c:pt>
                      <c:pt idx="4">
                        <c:v>8</c:v>
                      </c:pt>
                      <c:pt idx="5">
                        <c:v>6</c:v>
                      </c:pt>
                      <c:pt idx="6">
                        <c:v>31</c:v>
                      </c:pt>
                      <c:pt idx="7">
                        <c:v>15</c:v>
                      </c:pt>
                      <c:pt idx="8">
                        <c:v>8</c:v>
                      </c:pt>
                      <c:pt idx="9">
                        <c:v>2</c:v>
                      </c:pt>
                      <c:pt idx="10">
                        <c:v>9</c:v>
                      </c:pt>
                      <c:pt idx="11">
                        <c:v>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F6C9-4E02-8E4F-C2157046295A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Daten!$E$1</c15:sqref>
                        </c15:formulaRef>
                      </c:ext>
                    </c:extLst>
                    <c:strCache>
                      <c:ptCount val="1"/>
                      <c:pt idx="0">
                        <c:v>Accuracy (bereinigt)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Daten!$E$2:$E$13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0.74299999999999999</c:v>
                      </c:pt>
                      <c:pt idx="1">
                        <c:v>0.79300000000000004</c:v>
                      </c:pt>
                      <c:pt idx="2">
                        <c:v>0.80200000000000005</c:v>
                      </c:pt>
                      <c:pt idx="3">
                        <c:v>0.72799999999999998</c:v>
                      </c:pt>
                      <c:pt idx="4">
                        <c:v>0.88600000000000001</c:v>
                      </c:pt>
                      <c:pt idx="5">
                        <c:v>0.70199999999999996</c:v>
                      </c:pt>
                      <c:pt idx="6">
                        <c:v>0.44900000000000001</c:v>
                      </c:pt>
                      <c:pt idx="7">
                        <c:v>0.69299999999999995</c:v>
                      </c:pt>
                      <c:pt idx="8">
                        <c:v>0.78</c:v>
                      </c:pt>
                      <c:pt idx="9">
                        <c:v>0.71899999999999997</c:v>
                      </c:pt>
                      <c:pt idx="10">
                        <c:v>0.32900000000000001</c:v>
                      </c:pt>
                      <c:pt idx="11">
                        <c:v>0.84899999999999998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6C9-4E02-8E4F-C2157046295A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Daten!$F$1</c15:sqref>
                        </c15:formulaRef>
                      </c:ext>
                    </c:extLst>
                    <c:strCache>
                      <c:ptCount val="1"/>
                      <c:pt idx="0">
                        <c:v>TP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Daten!$F$2:$F$13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88</c:v>
                      </c:pt>
                      <c:pt idx="1">
                        <c:v>87</c:v>
                      </c:pt>
                      <c:pt idx="2">
                        <c:v>72</c:v>
                      </c:pt>
                      <c:pt idx="3">
                        <c:v>53</c:v>
                      </c:pt>
                      <c:pt idx="4">
                        <c:v>50</c:v>
                      </c:pt>
                      <c:pt idx="5">
                        <c:v>74</c:v>
                      </c:pt>
                      <c:pt idx="6">
                        <c:v>101</c:v>
                      </c:pt>
                      <c:pt idx="7">
                        <c:v>82</c:v>
                      </c:pt>
                      <c:pt idx="8">
                        <c:v>65</c:v>
                      </c:pt>
                      <c:pt idx="9">
                        <c:v>77</c:v>
                      </c:pt>
                      <c:pt idx="10">
                        <c:v>128</c:v>
                      </c:pt>
                      <c:pt idx="11">
                        <c:v>47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F6C9-4E02-8E4F-C2157046295A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Daten!$G$1</c15:sqref>
                        </c15:formulaRef>
                      </c:ext>
                    </c:extLst>
                    <c:strCache>
                      <c:ptCount val="1"/>
                      <c:pt idx="0">
                        <c:v>FP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Daten!$G$2:$G$13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721</c:v>
                      </c:pt>
                      <c:pt idx="1">
                        <c:v>570</c:v>
                      </c:pt>
                      <c:pt idx="2">
                        <c:v>530</c:v>
                      </c:pt>
                      <c:pt idx="3">
                        <c:v>734</c:v>
                      </c:pt>
                      <c:pt idx="4">
                        <c:v>256</c:v>
                      </c:pt>
                      <c:pt idx="5">
                        <c:v>830</c:v>
                      </c:pt>
                      <c:pt idx="6">
                        <c:v>1604</c:v>
                      </c:pt>
                      <c:pt idx="7">
                        <c:v>864</c:v>
                      </c:pt>
                      <c:pt idx="8">
                        <c:v>588</c:v>
                      </c:pt>
                      <c:pt idx="9">
                        <c:v>785</c:v>
                      </c:pt>
                      <c:pt idx="10">
                        <c:v>2002</c:v>
                      </c:pt>
                      <c:pt idx="11">
                        <c:v>364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F6C9-4E02-8E4F-C2157046295A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Daten!$H$1</c15:sqref>
                        </c15:formulaRef>
                      </c:ext>
                    </c:extLst>
                    <c:strCache>
                      <c:ptCount val="1"/>
                      <c:pt idx="0">
                        <c:v>FN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Daten!$H$2:$H$13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49</c:v>
                      </c:pt>
                      <c:pt idx="1">
                        <c:v>50</c:v>
                      </c:pt>
                      <c:pt idx="2">
                        <c:v>65</c:v>
                      </c:pt>
                      <c:pt idx="3">
                        <c:v>83</c:v>
                      </c:pt>
                      <c:pt idx="4">
                        <c:v>86</c:v>
                      </c:pt>
                      <c:pt idx="5">
                        <c:v>63</c:v>
                      </c:pt>
                      <c:pt idx="6">
                        <c:v>34</c:v>
                      </c:pt>
                      <c:pt idx="7">
                        <c:v>54</c:v>
                      </c:pt>
                      <c:pt idx="8">
                        <c:v>71</c:v>
                      </c:pt>
                      <c:pt idx="9">
                        <c:v>60</c:v>
                      </c:pt>
                      <c:pt idx="10">
                        <c:v>8</c:v>
                      </c:pt>
                      <c:pt idx="11">
                        <c:v>90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6C9-4E02-8E4F-C2157046295A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Daten!$I$1</c15:sqref>
                        </c15:formulaRef>
                      </c:ext>
                    </c:extLst>
                    <c:strCache>
                      <c:ptCount val="1"/>
                      <c:pt idx="0">
                        <c:v>TN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Daten!$I$2:$I$13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2138</c:v>
                      </c:pt>
                      <c:pt idx="1">
                        <c:v>2283</c:v>
                      </c:pt>
                      <c:pt idx="2">
                        <c:v>2331</c:v>
                      </c:pt>
                      <c:pt idx="3">
                        <c:v>2132</c:v>
                      </c:pt>
                      <c:pt idx="4">
                        <c:v>2604</c:v>
                      </c:pt>
                      <c:pt idx="5">
                        <c:v>2031</c:v>
                      </c:pt>
                      <c:pt idx="6">
                        <c:v>1234</c:v>
                      </c:pt>
                      <c:pt idx="7">
                        <c:v>1989</c:v>
                      </c:pt>
                      <c:pt idx="8">
                        <c:v>2272</c:v>
                      </c:pt>
                      <c:pt idx="9">
                        <c:v>2080</c:v>
                      </c:pt>
                      <c:pt idx="10">
                        <c:v>857</c:v>
                      </c:pt>
                      <c:pt idx="11">
                        <c:v>2499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6C9-4E02-8E4F-C2157046295A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Daten!$J$1</c15:sqref>
                        </c15:formulaRef>
                      </c:ext>
                    </c:extLst>
                    <c:strCache>
                      <c:ptCount val="1"/>
                      <c:pt idx="0">
                        <c:v>Precision      (Unwirksam)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Daten!$J$2:$J$13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0.109</c:v>
                      </c:pt>
                      <c:pt idx="1">
                        <c:v>0.13200000000000001</c:v>
                      </c:pt>
                      <c:pt idx="2">
                        <c:v>0.12</c:v>
                      </c:pt>
                      <c:pt idx="3">
                        <c:v>6.7000000000000004E-2</c:v>
                      </c:pt>
                      <c:pt idx="4">
                        <c:v>0.16300000000000001</c:v>
                      </c:pt>
                      <c:pt idx="5">
                        <c:v>8.2000000000000003E-2</c:v>
                      </c:pt>
                      <c:pt idx="6">
                        <c:v>5.8999999999999997E-2</c:v>
                      </c:pt>
                      <c:pt idx="7">
                        <c:v>8.6999999999999994E-2</c:v>
                      </c:pt>
                      <c:pt idx="8">
                        <c:v>0.1</c:v>
                      </c:pt>
                      <c:pt idx="9">
                        <c:v>8.8999999999999996E-2</c:v>
                      </c:pt>
                      <c:pt idx="10">
                        <c:v>0.06</c:v>
                      </c:pt>
                      <c:pt idx="11">
                        <c:v>0.114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F6C9-4E02-8E4F-C2157046295A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Daten!$K$1</c15:sqref>
                        </c15:formulaRef>
                      </c:ext>
                    </c:extLst>
                    <c:strCache>
                      <c:ptCount val="1"/>
                      <c:pt idx="0">
                        <c:v>Recall      (Unwirksam)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Daten!$K$2:$K$13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0.64200000000000002</c:v>
                      </c:pt>
                      <c:pt idx="1">
                        <c:v>0.63500000000000001</c:v>
                      </c:pt>
                      <c:pt idx="2">
                        <c:v>0.52600000000000002</c:v>
                      </c:pt>
                      <c:pt idx="3">
                        <c:v>0.39</c:v>
                      </c:pt>
                      <c:pt idx="4">
                        <c:v>0.36799999999999999</c:v>
                      </c:pt>
                      <c:pt idx="5">
                        <c:v>0.54</c:v>
                      </c:pt>
                      <c:pt idx="6">
                        <c:v>0.748</c:v>
                      </c:pt>
                      <c:pt idx="7">
                        <c:v>0.60299999999999998</c:v>
                      </c:pt>
                      <c:pt idx="8">
                        <c:v>0.47799999999999998</c:v>
                      </c:pt>
                      <c:pt idx="9">
                        <c:v>0.56200000000000006</c:v>
                      </c:pt>
                      <c:pt idx="10">
                        <c:v>0.94099999999999995</c:v>
                      </c:pt>
                      <c:pt idx="11">
                        <c:v>0.34300000000000003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F6C9-4E02-8E4F-C2157046295A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Daten!$L$1</c15:sqref>
                        </c15:formulaRef>
                      </c:ext>
                    </c:extLst>
                    <c:strCache>
                      <c:ptCount val="1"/>
                      <c:pt idx="0">
                        <c:v>F1      (Unwirksam)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Daten!$L$2:$L$13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0.186</c:v>
                      </c:pt>
                      <c:pt idx="1">
                        <c:v>0.219</c:v>
                      </c:pt>
                      <c:pt idx="2">
                        <c:v>0.19500000000000001</c:v>
                      </c:pt>
                      <c:pt idx="3">
                        <c:v>0.115</c:v>
                      </c:pt>
                      <c:pt idx="4">
                        <c:v>0.22600000000000001</c:v>
                      </c:pt>
                      <c:pt idx="5">
                        <c:v>0.14199999999999999</c:v>
                      </c:pt>
                      <c:pt idx="6">
                        <c:v>0.11</c:v>
                      </c:pt>
                      <c:pt idx="7">
                        <c:v>0.152</c:v>
                      </c:pt>
                      <c:pt idx="8">
                        <c:v>0.16500000000000001</c:v>
                      </c:pt>
                      <c:pt idx="9">
                        <c:v>0.154</c:v>
                      </c:pt>
                      <c:pt idx="10">
                        <c:v>0.113</c:v>
                      </c:pt>
                      <c:pt idx="11">
                        <c:v>0.17199999999999999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F6C9-4E02-8E4F-C2157046295A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Daten!$M$1</c15:sqref>
                        </c15:formulaRef>
                      </c:ext>
                    </c:extLst>
                    <c:strCache>
                      <c:ptCount val="1"/>
                      <c:pt idx="0">
                        <c:v>Precision      (Wirksam)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Daten!$M$2:$M$13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0.97799999999999998</c:v>
                      </c:pt>
                      <c:pt idx="1">
                        <c:v>0.97899999999999998</c:v>
                      </c:pt>
                      <c:pt idx="2">
                        <c:v>0.97299999999999998</c:v>
                      </c:pt>
                      <c:pt idx="3">
                        <c:v>0.96299999999999997</c:v>
                      </c:pt>
                      <c:pt idx="4">
                        <c:v>0.96799999999999997</c:v>
                      </c:pt>
                      <c:pt idx="5">
                        <c:v>0.97</c:v>
                      </c:pt>
                      <c:pt idx="6">
                        <c:v>0.97299999999999998</c:v>
                      </c:pt>
                      <c:pt idx="7">
                        <c:v>0.97399999999999998</c:v>
                      </c:pt>
                      <c:pt idx="8">
                        <c:v>0.97</c:v>
                      </c:pt>
                      <c:pt idx="9">
                        <c:v>0.97199999999999998</c:v>
                      </c:pt>
                      <c:pt idx="10">
                        <c:v>0.99099999999999999</c:v>
                      </c:pt>
                      <c:pt idx="11">
                        <c:v>0.96499999999999997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F6C9-4E02-8E4F-C2157046295A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Daten!$N$1</c15:sqref>
                        </c15:formulaRef>
                      </c:ext>
                    </c:extLst>
                    <c:strCache>
                      <c:ptCount val="1"/>
                      <c:pt idx="0">
                        <c:v>Recall (Wirksam)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Daten!$N$2:$N$13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0.748</c:v>
                      </c:pt>
                      <c:pt idx="1">
                        <c:v>0.8</c:v>
                      </c:pt>
                      <c:pt idx="2">
                        <c:v>0.81499999999999995</c:v>
                      </c:pt>
                      <c:pt idx="3">
                        <c:v>0.74399999999999999</c:v>
                      </c:pt>
                      <c:pt idx="4">
                        <c:v>0.91</c:v>
                      </c:pt>
                      <c:pt idx="5">
                        <c:v>0.71</c:v>
                      </c:pt>
                      <c:pt idx="6">
                        <c:v>0.435</c:v>
                      </c:pt>
                      <c:pt idx="7">
                        <c:v>0.69699999999999995</c:v>
                      </c:pt>
                      <c:pt idx="8">
                        <c:v>0.79400000000000004</c:v>
                      </c:pt>
                      <c:pt idx="9">
                        <c:v>0.72599999999999998</c:v>
                      </c:pt>
                      <c:pt idx="10">
                        <c:v>0.3</c:v>
                      </c:pt>
                      <c:pt idx="11">
                        <c:v>0.873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F6C9-4E02-8E4F-C2157046295A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Daten!$O$1</c15:sqref>
                        </c15:formulaRef>
                      </c:ext>
                    </c:extLst>
                    <c:strCache>
                      <c:ptCount val="1"/>
                      <c:pt idx="0">
                        <c:v>F1                           (Wirksam)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Daten!$O$2:$O$13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0.84699999999999998</c:v>
                      </c:pt>
                      <c:pt idx="1">
                        <c:v>0.88</c:v>
                      </c:pt>
                      <c:pt idx="2">
                        <c:v>0.88700000000000001</c:v>
                      </c:pt>
                      <c:pt idx="3">
                        <c:v>0.83899999999999997</c:v>
                      </c:pt>
                      <c:pt idx="4">
                        <c:v>0.93799999999999994</c:v>
                      </c:pt>
                      <c:pt idx="5">
                        <c:v>0.82</c:v>
                      </c:pt>
                      <c:pt idx="6">
                        <c:v>0.60099999999999998</c:v>
                      </c:pt>
                      <c:pt idx="7">
                        <c:v>0.81200000000000006</c:v>
                      </c:pt>
                      <c:pt idx="8">
                        <c:v>0.873</c:v>
                      </c:pt>
                      <c:pt idx="9">
                        <c:v>0.83099999999999996</c:v>
                      </c:pt>
                      <c:pt idx="10">
                        <c:v>0.46</c:v>
                      </c:pt>
                      <c:pt idx="11">
                        <c:v>0.91700000000000004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F6C9-4E02-8E4F-C2157046295A}"/>
                  </c:ext>
                </c:extLst>
              </c15:ser>
            </c15:filteredBarSeries>
            <c15:filteredB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Daten!$P$1</c15:sqref>
                        </c15:formulaRef>
                      </c:ext>
                    </c:extLst>
                    <c:strCache>
                      <c:ptCount val="1"/>
                      <c:pt idx="0">
                        <c:v>F1           (macro)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Daten!$P$2:$P$13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0.51700000000000002</c:v>
                      </c:pt>
                      <c:pt idx="1">
                        <c:v>0.55000000000000004</c:v>
                      </c:pt>
                      <c:pt idx="2">
                        <c:v>0.54100000000000004</c:v>
                      </c:pt>
                      <c:pt idx="3">
                        <c:v>0.47699999999999998</c:v>
                      </c:pt>
                      <c:pt idx="4">
                        <c:v>0.58199999999999996</c:v>
                      </c:pt>
                      <c:pt idx="5">
                        <c:v>0.48099999999999998</c:v>
                      </c:pt>
                      <c:pt idx="6">
                        <c:v>0.35499999999999998</c:v>
                      </c:pt>
                      <c:pt idx="7">
                        <c:v>0.48199999999999998</c:v>
                      </c:pt>
                      <c:pt idx="8">
                        <c:v>0.51900000000000002</c:v>
                      </c:pt>
                      <c:pt idx="9">
                        <c:v>0.49299999999999999</c:v>
                      </c:pt>
                      <c:pt idx="10">
                        <c:v>0.28699999999999998</c:v>
                      </c:pt>
                      <c:pt idx="11">
                        <c:v>0.54400000000000004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F6C9-4E02-8E4F-C2157046295A}"/>
                  </c:ext>
                </c:extLst>
              </c15:ser>
            </c15:filteredBarSeries>
            <c15:filteredBa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Daten!$Q$1</c15:sqref>
                        </c15:formulaRef>
                      </c:ext>
                    </c:extLst>
                    <c:strCache>
                      <c:ptCount val="1"/>
                      <c:pt idx="0">
                        <c:v>F1                 (weighted)</c:v>
                      </c:pt>
                    </c:strCache>
                  </c:strRef>
                </c:tx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Daten!$Q$2:$Q$13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0.81699999999999995</c:v>
                      </c:pt>
                      <c:pt idx="1">
                        <c:v>0.85</c:v>
                      </c:pt>
                      <c:pt idx="2">
                        <c:v>0.85499999999999998</c:v>
                      </c:pt>
                      <c:pt idx="3">
                        <c:v>0.80600000000000005</c:v>
                      </c:pt>
                      <c:pt idx="4">
                        <c:v>0.90600000000000003</c:v>
                      </c:pt>
                      <c:pt idx="5">
                        <c:v>0.78900000000000003</c:v>
                      </c:pt>
                      <c:pt idx="6">
                        <c:v>0.57899999999999996</c:v>
                      </c:pt>
                      <c:pt idx="7">
                        <c:v>0.78200000000000003</c:v>
                      </c:pt>
                      <c:pt idx="8">
                        <c:v>0.84099999999999997</c:v>
                      </c:pt>
                      <c:pt idx="9">
                        <c:v>0.8</c:v>
                      </c:pt>
                      <c:pt idx="10">
                        <c:v>0.44400000000000001</c:v>
                      </c:pt>
                      <c:pt idx="11">
                        <c:v>0.88300000000000001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F6C9-4E02-8E4F-C2157046295A}"/>
                  </c:ext>
                </c:extLst>
              </c15:ser>
            </c15:filteredBarSeries>
            <c15:filteredBa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Daten!$R$1</c15:sqref>
                        </c15:formulaRef>
                      </c:ext>
                    </c:extLst>
                    <c:strCache>
                      <c:ptCount val="1"/>
                      <c:pt idx="0">
                        <c:v>Precision       Macro</c:v>
                      </c:pt>
                    </c:strCache>
                  </c:strRef>
                </c:tx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Daten!$R$2:$R$13</c15:sqref>
                        </c15:formulaRef>
                      </c:ext>
                    </c:extLst>
                    <c:numCache>
                      <c:formatCode>0.000</c:formatCode>
                      <c:ptCount val="12"/>
                      <c:pt idx="0">
                        <c:v>0.54349999999999998</c:v>
                      </c:pt>
                      <c:pt idx="1">
                        <c:v>0.55549999999999999</c:v>
                      </c:pt>
                      <c:pt idx="2">
                        <c:v>0.54649999999999999</c:v>
                      </c:pt>
                      <c:pt idx="3">
                        <c:v>0.51500000000000001</c:v>
                      </c:pt>
                      <c:pt idx="4">
                        <c:v>0.5655</c:v>
                      </c:pt>
                      <c:pt idx="5">
                        <c:v>0.52600000000000002</c:v>
                      </c:pt>
                      <c:pt idx="6">
                        <c:v>0.51600000000000001</c:v>
                      </c:pt>
                      <c:pt idx="7">
                        <c:v>0.53049999999999997</c:v>
                      </c:pt>
                      <c:pt idx="8">
                        <c:v>0.53500000000000003</c:v>
                      </c:pt>
                      <c:pt idx="9">
                        <c:v>0.53049999999999997</c:v>
                      </c:pt>
                      <c:pt idx="10">
                        <c:v>0.52549999999999997</c:v>
                      </c:pt>
                      <c:pt idx="11">
                        <c:v>0.53949999999999998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0DF8-43BD-B4AB-F03E79845583}"/>
                  </c:ext>
                </c:extLst>
              </c15:ser>
            </c15:filteredBarSeries>
            <c15:filteredBa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Daten!$S$1</c15:sqref>
                        </c15:formulaRef>
                      </c:ext>
                    </c:extLst>
                    <c:strCache>
                      <c:ptCount val="1"/>
                      <c:pt idx="0">
                        <c:v> Prec                 Micro</c:v>
                      </c:pt>
                    </c:strCache>
                  </c:strRef>
                </c:tx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Daten!$S$2:$S$13</c15:sqref>
                        </c15:formulaRef>
                      </c:ext>
                    </c:extLst>
                    <c:numCache>
                      <c:formatCode>0.000</c:formatCode>
                      <c:ptCount val="12"/>
                      <c:pt idx="0">
                        <c:v>0.10877626699629171</c:v>
                      </c:pt>
                      <c:pt idx="1">
                        <c:v>0.13242009132420091</c:v>
                      </c:pt>
                      <c:pt idx="2">
                        <c:v>0.11960132890365449</c:v>
                      </c:pt>
                      <c:pt idx="3">
                        <c:v>6.734434561626429E-2</c:v>
                      </c:pt>
                      <c:pt idx="4">
                        <c:v>0.16339869281045752</c:v>
                      </c:pt>
                      <c:pt idx="5">
                        <c:v>8.185840707964602E-2</c:v>
                      </c:pt>
                      <c:pt idx="6">
                        <c:v>5.9237536656891493E-2</c:v>
                      </c:pt>
                      <c:pt idx="7">
                        <c:v>8.6680761099365747E-2</c:v>
                      </c:pt>
                      <c:pt idx="8">
                        <c:v>9.9540581929555894E-2</c:v>
                      </c:pt>
                      <c:pt idx="9">
                        <c:v>8.9327146171693739E-2</c:v>
                      </c:pt>
                      <c:pt idx="10">
                        <c:v>6.0093896713615022E-2</c:v>
                      </c:pt>
                      <c:pt idx="11">
                        <c:v>0.11435523114355231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0DF8-43BD-B4AB-F03E79845583}"/>
                  </c:ext>
                </c:extLst>
              </c15:ser>
            </c15:filteredBarSeries>
            <c15:filteredBa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Daten!$T$1</c15:sqref>
                        </c15:formulaRef>
                      </c:ext>
                    </c:extLst>
                    <c:strCache>
                      <c:ptCount val="1"/>
                      <c:pt idx="0">
                        <c:v>Recall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Daten!$T$2:$T$13</c15:sqref>
                        </c15:formulaRef>
                      </c:ext>
                    </c:extLst>
                    <c:numCache>
                      <c:formatCode>0.000</c:formatCode>
                      <c:ptCount val="12"/>
                      <c:pt idx="0">
                        <c:v>0.64233576642335766</c:v>
                      </c:pt>
                      <c:pt idx="1">
                        <c:v>0.63503649635036497</c:v>
                      </c:pt>
                      <c:pt idx="2">
                        <c:v>0.52554744525547448</c:v>
                      </c:pt>
                      <c:pt idx="3">
                        <c:v>0.38970588235294118</c:v>
                      </c:pt>
                      <c:pt idx="4">
                        <c:v>0.36764705882352944</c:v>
                      </c:pt>
                      <c:pt idx="5">
                        <c:v>0.54014598540145986</c:v>
                      </c:pt>
                      <c:pt idx="6">
                        <c:v>0.74814814814814812</c:v>
                      </c:pt>
                      <c:pt idx="7">
                        <c:v>0.6029411764705882</c:v>
                      </c:pt>
                      <c:pt idx="8">
                        <c:v>0.47794117647058826</c:v>
                      </c:pt>
                      <c:pt idx="9">
                        <c:v>0.56204379562043794</c:v>
                      </c:pt>
                      <c:pt idx="10">
                        <c:v>0.94117647058823528</c:v>
                      </c:pt>
                      <c:pt idx="11">
                        <c:v>0.34306569343065696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DF8-43BD-B4AB-F03E79845583}"/>
                  </c:ext>
                </c:extLst>
              </c15:ser>
            </c15:filteredBarSeries>
            <c15:filteredBa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Daten!$U$1</c15:sqref>
                        </c15:formulaRef>
                      </c:ext>
                    </c:extLst>
                    <c:strCache>
                      <c:ptCount val="1"/>
                      <c:pt idx="0">
                        <c:v>Prec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Daten!$U$2:$U$13</c15:sqref>
                        </c15:formulaRef>
                      </c:ext>
                    </c:extLst>
                    <c:numCache>
                      <c:formatCode>0.000</c:formatCode>
                      <c:ptCount val="12"/>
                      <c:pt idx="0">
                        <c:v>0.10877626699629171</c:v>
                      </c:pt>
                      <c:pt idx="1">
                        <c:v>0.13242009132420091</c:v>
                      </c:pt>
                      <c:pt idx="2">
                        <c:v>0.11960132890365449</c:v>
                      </c:pt>
                      <c:pt idx="3">
                        <c:v>6.734434561626429E-2</c:v>
                      </c:pt>
                      <c:pt idx="4">
                        <c:v>0.16339869281045752</c:v>
                      </c:pt>
                      <c:pt idx="5">
                        <c:v>8.185840707964602E-2</c:v>
                      </c:pt>
                      <c:pt idx="6">
                        <c:v>5.9237536656891493E-2</c:v>
                      </c:pt>
                      <c:pt idx="7">
                        <c:v>8.6680761099365747E-2</c:v>
                      </c:pt>
                      <c:pt idx="8">
                        <c:v>9.9540581929555894E-2</c:v>
                      </c:pt>
                      <c:pt idx="9">
                        <c:v>8.9327146171693739E-2</c:v>
                      </c:pt>
                      <c:pt idx="10">
                        <c:v>6.0093896713615022E-2</c:v>
                      </c:pt>
                      <c:pt idx="11">
                        <c:v>0.11435523114355231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DF8-43BD-B4AB-F03E79845583}"/>
                  </c:ext>
                </c:extLst>
              </c15:ser>
            </c15:filteredBarSeries>
            <c15:filteredBa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Daten!$V$1</c15:sqref>
                        </c15:formulaRef>
                      </c:ext>
                    </c:extLst>
                    <c:strCache>
                      <c:ptCount val="1"/>
                      <c:pt idx="0">
                        <c:v>F1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Daten!$V$2:$V$13</c15:sqref>
                        </c15:formulaRef>
                      </c:ext>
                    </c:extLst>
                    <c:numCache>
                      <c:formatCode>0.000</c:formatCode>
                      <c:ptCount val="12"/>
                      <c:pt idx="0">
                        <c:v>0.18604651162790695</c:v>
                      </c:pt>
                      <c:pt idx="1">
                        <c:v>0.21914357682619648</c:v>
                      </c:pt>
                      <c:pt idx="2">
                        <c:v>0.19485791610284167</c:v>
                      </c:pt>
                      <c:pt idx="3">
                        <c:v>0.11484290357529793</c:v>
                      </c:pt>
                      <c:pt idx="4">
                        <c:v>0.22624434389140272</c:v>
                      </c:pt>
                      <c:pt idx="5">
                        <c:v>0.14217098943323728</c:v>
                      </c:pt>
                      <c:pt idx="6">
                        <c:v>0.10978260869565218</c:v>
                      </c:pt>
                      <c:pt idx="7">
                        <c:v>0.15157116451016636</c:v>
                      </c:pt>
                      <c:pt idx="8">
                        <c:v>0.16476552598225602</c:v>
                      </c:pt>
                      <c:pt idx="9">
                        <c:v>0.15415415415415418</c:v>
                      </c:pt>
                      <c:pt idx="10">
                        <c:v>0.11297440423654015</c:v>
                      </c:pt>
                      <c:pt idx="11">
                        <c:v>0.17153284671532848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DF8-43BD-B4AB-F03E79845583}"/>
                  </c:ext>
                </c:extLst>
              </c15:ser>
            </c15:filteredBarSeries>
          </c:ext>
        </c:extLst>
      </c:barChart>
      <c:catAx>
        <c:axId val="110115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01152736"/>
        <c:crosses val="autoZero"/>
        <c:auto val="1"/>
        <c:lblAlgn val="ctr"/>
        <c:lblOffset val="100"/>
        <c:noMultiLvlLbl val="0"/>
      </c:catAx>
      <c:valAx>
        <c:axId val="110115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01157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Accuracy (bereinigt)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Daten!$E$1</c:f>
              <c:strCache>
                <c:ptCount val="1"/>
                <c:pt idx="0">
                  <c:v>Accuracy (bereinigt)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Daten!$A$2:$A$13</c:f>
              <c:strCache>
                <c:ptCount val="12"/>
                <c:pt idx="0">
                  <c:v>Grok-3</c:v>
                </c:pt>
                <c:pt idx="1">
                  <c:v>GPT5</c:v>
                </c:pt>
                <c:pt idx="2">
                  <c:v>GPT4</c:v>
                </c:pt>
                <c:pt idx="3">
                  <c:v>OSS120B</c:v>
                </c:pt>
                <c:pt idx="4">
                  <c:v>GPT o4-mini</c:v>
                </c:pt>
                <c:pt idx="5">
                  <c:v>DeepseekR1</c:v>
                </c:pt>
                <c:pt idx="6">
                  <c:v>OSS20B</c:v>
                </c:pt>
                <c:pt idx="7">
                  <c:v>Gemma27B</c:v>
                </c:pt>
                <c:pt idx="8">
                  <c:v>Mistral8B</c:v>
                </c:pt>
                <c:pt idx="9">
                  <c:v>LLama38B</c:v>
                </c:pt>
                <c:pt idx="10">
                  <c:v>Llama3DiscoLeo8B</c:v>
                </c:pt>
                <c:pt idx="11">
                  <c:v>GeminiFlashLite2.5</c:v>
                </c:pt>
              </c:strCache>
            </c:strRef>
          </c:cat>
          <c:val>
            <c:numRef>
              <c:f>Daten!$E$2:$E$13</c:f>
              <c:numCache>
                <c:formatCode>General</c:formatCode>
                <c:ptCount val="12"/>
                <c:pt idx="0">
                  <c:v>0.74299999999999999</c:v>
                </c:pt>
                <c:pt idx="1">
                  <c:v>0.79300000000000004</c:v>
                </c:pt>
                <c:pt idx="2">
                  <c:v>0.80200000000000005</c:v>
                </c:pt>
                <c:pt idx="3">
                  <c:v>0.72799999999999998</c:v>
                </c:pt>
                <c:pt idx="4">
                  <c:v>0.88600000000000001</c:v>
                </c:pt>
                <c:pt idx="5">
                  <c:v>0.70199999999999996</c:v>
                </c:pt>
                <c:pt idx="6">
                  <c:v>0.44900000000000001</c:v>
                </c:pt>
                <c:pt idx="7">
                  <c:v>0.69299999999999995</c:v>
                </c:pt>
                <c:pt idx="8">
                  <c:v>0.78</c:v>
                </c:pt>
                <c:pt idx="9">
                  <c:v>0.71899999999999997</c:v>
                </c:pt>
                <c:pt idx="10">
                  <c:v>0.32900000000000001</c:v>
                </c:pt>
                <c:pt idx="11">
                  <c:v>0.84899999999999998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CA-4864-AB2E-AADACF3499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1157056"/>
        <c:axId val="110115273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Daten!$B$1</c15:sqref>
                        </c15:formulaRef>
                      </c:ext>
                    </c:extLst>
                    <c:strCache>
                      <c:ptCount val="1"/>
                      <c:pt idx="0">
                        <c:v>Gesamtanzahl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Daten!$B$2:$B$13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3004</c:v>
                      </c:pt>
                      <c:pt idx="1">
                        <c:v>3004</c:v>
                      </c:pt>
                      <c:pt idx="2">
                        <c:v>3004</c:v>
                      </c:pt>
                      <c:pt idx="3">
                        <c:v>3004</c:v>
                      </c:pt>
                      <c:pt idx="4">
                        <c:v>3004</c:v>
                      </c:pt>
                      <c:pt idx="5">
                        <c:v>3004</c:v>
                      </c:pt>
                      <c:pt idx="6">
                        <c:v>3004</c:v>
                      </c:pt>
                      <c:pt idx="7">
                        <c:v>3004</c:v>
                      </c:pt>
                      <c:pt idx="8">
                        <c:v>3004</c:v>
                      </c:pt>
                      <c:pt idx="9">
                        <c:v>3004</c:v>
                      </c:pt>
                      <c:pt idx="10">
                        <c:v>3004</c:v>
                      </c:pt>
                      <c:pt idx="11">
                        <c:v>3004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2CCA-4864-AB2E-AADACF3499FB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Daten!$C$1</c15:sqref>
                        </c15:formulaRef>
                      </c:ext>
                    </c:extLst>
                    <c:strCache>
                      <c:ptCount val="1"/>
                      <c:pt idx="0">
                        <c:v>Anzahl_Klassifikationen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Daten!$C$2:$C$13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2996</c:v>
                      </c:pt>
                      <c:pt idx="1">
                        <c:v>2990</c:v>
                      </c:pt>
                      <c:pt idx="2">
                        <c:v>2998</c:v>
                      </c:pt>
                      <c:pt idx="3">
                        <c:v>3002</c:v>
                      </c:pt>
                      <c:pt idx="4">
                        <c:v>2996</c:v>
                      </c:pt>
                      <c:pt idx="5">
                        <c:v>2998</c:v>
                      </c:pt>
                      <c:pt idx="6">
                        <c:v>2973</c:v>
                      </c:pt>
                      <c:pt idx="7">
                        <c:v>2989</c:v>
                      </c:pt>
                      <c:pt idx="8">
                        <c:v>2996</c:v>
                      </c:pt>
                      <c:pt idx="9">
                        <c:v>3002</c:v>
                      </c:pt>
                      <c:pt idx="10">
                        <c:v>2995</c:v>
                      </c:pt>
                      <c:pt idx="11">
                        <c:v>3000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CCA-4864-AB2E-AADACF3499FB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Daten!$D$1</c15:sqref>
                        </c15:formulaRef>
                      </c:ext>
                    </c:extLst>
                    <c:strCache>
                      <c:ptCount val="1"/>
                      <c:pt idx="0">
                        <c:v>Fehlende ('-'/NaN/leer)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Daten!$D$2:$D$13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</c:v>
                      </c:pt>
                      <c:pt idx="1">
                        <c:v>14</c:v>
                      </c:pt>
                      <c:pt idx="2">
                        <c:v>6</c:v>
                      </c:pt>
                      <c:pt idx="3">
                        <c:v>2</c:v>
                      </c:pt>
                      <c:pt idx="4">
                        <c:v>8</c:v>
                      </c:pt>
                      <c:pt idx="5">
                        <c:v>6</c:v>
                      </c:pt>
                      <c:pt idx="6">
                        <c:v>31</c:v>
                      </c:pt>
                      <c:pt idx="7">
                        <c:v>15</c:v>
                      </c:pt>
                      <c:pt idx="8">
                        <c:v>8</c:v>
                      </c:pt>
                      <c:pt idx="9">
                        <c:v>2</c:v>
                      </c:pt>
                      <c:pt idx="10">
                        <c:v>9</c:v>
                      </c:pt>
                      <c:pt idx="11">
                        <c:v>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2CCA-4864-AB2E-AADACF3499FB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Daten!$F$1</c15:sqref>
                        </c15:formulaRef>
                      </c:ext>
                    </c:extLst>
                    <c:strCache>
                      <c:ptCount val="1"/>
                      <c:pt idx="0">
                        <c:v>TP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Daten!$F$2:$F$13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88</c:v>
                      </c:pt>
                      <c:pt idx="1">
                        <c:v>87</c:v>
                      </c:pt>
                      <c:pt idx="2">
                        <c:v>72</c:v>
                      </c:pt>
                      <c:pt idx="3">
                        <c:v>53</c:v>
                      </c:pt>
                      <c:pt idx="4">
                        <c:v>50</c:v>
                      </c:pt>
                      <c:pt idx="5">
                        <c:v>74</c:v>
                      </c:pt>
                      <c:pt idx="6">
                        <c:v>101</c:v>
                      </c:pt>
                      <c:pt idx="7">
                        <c:v>82</c:v>
                      </c:pt>
                      <c:pt idx="8">
                        <c:v>65</c:v>
                      </c:pt>
                      <c:pt idx="9">
                        <c:v>77</c:v>
                      </c:pt>
                      <c:pt idx="10">
                        <c:v>128</c:v>
                      </c:pt>
                      <c:pt idx="11">
                        <c:v>47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2CCA-4864-AB2E-AADACF3499FB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Daten!$G$1</c15:sqref>
                        </c15:formulaRef>
                      </c:ext>
                    </c:extLst>
                    <c:strCache>
                      <c:ptCount val="1"/>
                      <c:pt idx="0">
                        <c:v>FP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Daten!$G$2:$G$13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721</c:v>
                      </c:pt>
                      <c:pt idx="1">
                        <c:v>570</c:v>
                      </c:pt>
                      <c:pt idx="2">
                        <c:v>530</c:v>
                      </c:pt>
                      <c:pt idx="3">
                        <c:v>734</c:v>
                      </c:pt>
                      <c:pt idx="4">
                        <c:v>256</c:v>
                      </c:pt>
                      <c:pt idx="5">
                        <c:v>830</c:v>
                      </c:pt>
                      <c:pt idx="6">
                        <c:v>1604</c:v>
                      </c:pt>
                      <c:pt idx="7">
                        <c:v>864</c:v>
                      </c:pt>
                      <c:pt idx="8">
                        <c:v>588</c:v>
                      </c:pt>
                      <c:pt idx="9">
                        <c:v>785</c:v>
                      </c:pt>
                      <c:pt idx="10">
                        <c:v>2002</c:v>
                      </c:pt>
                      <c:pt idx="11">
                        <c:v>364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2CCA-4864-AB2E-AADACF3499FB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Daten!$H$1</c15:sqref>
                        </c15:formulaRef>
                      </c:ext>
                    </c:extLst>
                    <c:strCache>
                      <c:ptCount val="1"/>
                      <c:pt idx="0">
                        <c:v>FN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Daten!$H$2:$H$13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49</c:v>
                      </c:pt>
                      <c:pt idx="1">
                        <c:v>50</c:v>
                      </c:pt>
                      <c:pt idx="2">
                        <c:v>65</c:v>
                      </c:pt>
                      <c:pt idx="3">
                        <c:v>83</c:v>
                      </c:pt>
                      <c:pt idx="4">
                        <c:v>86</c:v>
                      </c:pt>
                      <c:pt idx="5">
                        <c:v>63</c:v>
                      </c:pt>
                      <c:pt idx="6">
                        <c:v>34</c:v>
                      </c:pt>
                      <c:pt idx="7">
                        <c:v>54</c:v>
                      </c:pt>
                      <c:pt idx="8">
                        <c:v>71</c:v>
                      </c:pt>
                      <c:pt idx="9">
                        <c:v>60</c:v>
                      </c:pt>
                      <c:pt idx="10">
                        <c:v>8</c:v>
                      </c:pt>
                      <c:pt idx="11">
                        <c:v>90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2CCA-4864-AB2E-AADACF3499FB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Daten!$I$1</c15:sqref>
                        </c15:formulaRef>
                      </c:ext>
                    </c:extLst>
                    <c:strCache>
                      <c:ptCount val="1"/>
                      <c:pt idx="0">
                        <c:v>TN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Daten!$I$2:$I$13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2138</c:v>
                      </c:pt>
                      <c:pt idx="1">
                        <c:v>2283</c:v>
                      </c:pt>
                      <c:pt idx="2">
                        <c:v>2331</c:v>
                      </c:pt>
                      <c:pt idx="3">
                        <c:v>2132</c:v>
                      </c:pt>
                      <c:pt idx="4">
                        <c:v>2604</c:v>
                      </c:pt>
                      <c:pt idx="5">
                        <c:v>2031</c:v>
                      </c:pt>
                      <c:pt idx="6">
                        <c:v>1234</c:v>
                      </c:pt>
                      <c:pt idx="7">
                        <c:v>1989</c:v>
                      </c:pt>
                      <c:pt idx="8">
                        <c:v>2272</c:v>
                      </c:pt>
                      <c:pt idx="9">
                        <c:v>2080</c:v>
                      </c:pt>
                      <c:pt idx="10">
                        <c:v>857</c:v>
                      </c:pt>
                      <c:pt idx="11">
                        <c:v>2499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2CCA-4864-AB2E-AADACF3499FB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Daten!$J$1</c15:sqref>
                        </c15:formulaRef>
                      </c:ext>
                    </c:extLst>
                    <c:strCache>
                      <c:ptCount val="1"/>
                      <c:pt idx="0">
                        <c:v>Precision      (Unwirksam)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Daten!$J$2:$J$13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0.109</c:v>
                      </c:pt>
                      <c:pt idx="1">
                        <c:v>0.13200000000000001</c:v>
                      </c:pt>
                      <c:pt idx="2">
                        <c:v>0.12</c:v>
                      </c:pt>
                      <c:pt idx="3">
                        <c:v>6.7000000000000004E-2</c:v>
                      </c:pt>
                      <c:pt idx="4">
                        <c:v>0.16300000000000001</c:v>
                      </c:pt>
                      <c:pt idx="5">
                        <c:v>8.2000000000000003E-2</c:v>
                      </c:pt>
                      <c:pt idx="6">
                        <c:v>5.8999999999999997E-2</c:v>
                      </c:pt>
                      <c:pt idx="7">
                        <c:v>8.6999999999999994E-2</c:v>
                      </c:pt>
                      <c:pt idx="8">
                        <c:v>0.1</c:v>
                      </c:pt>
                      <c:pt idx="9">
                        <c:v>8.8999999999999996E-2</c:v>
                      </c:pt>
                      <c:pt idx="10">
                        <c:v>0.06</c:v>
                      </c:pt>
                      <c:pt idx="11">
                        <c:v>0.114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2CCA-4864-AB2E-AADACF3499FB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Daten!$K$1</c15:sqref>
                        </c15:formulaRef>
                      </c:ext>
                    </c:extLst>
                    <c:strCache>
                      <c:ptCount val="1"/>
                      <c:pt idx="0">
                        <c:v>Recall      (Unwirksam)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Daten!$K$2:$K$13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0.64200000000000002</c:v>
                      </c:pt>
                      <c:pt idx="1">
                        <c:v>0.63500000000000001</c:v>
                      </c:pt>
                      <c:pt idx="2">
                        <c:v>0.52600000000000002</c:v>
                      </c:pt>
                      <c:pt idx="3">
                        <c:v>0.39</c:v>
                      </c:pt>
                      <c:pt idx="4">
                        <c:v>0.36799999999999999</c:v>
                      </c:pt>
                      <c:pt idx="5">
                        <c:v>0.54</c:v>
                      </c:pt>
                      <c:pt idx="6">
                        <c:v>0.748</c:v>
                      </c:pt>
                      <c:pt idx="7">
                        <c:v>0.60299999999999998</c:v>
                      </c:pt>
                      <c:pt idx="8">
                        <c:v>0.47799999999999998</c:v>
                      </c:pt>
                      <c:pt idx="9">
                        <c:v>0.56200000000000006</c:v>
                      </c:pt>
                      <c:pt idx="10">
                        <c:v>0.94099999999999995</c:v>
                      </c:pt>
                      <c:pt idx="11">
                        <c:v>0.34300000000000003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CCA-4864-AB2E-AADACF3499FB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Daten!$L$1</c15:sqref>
                        </c15:formulaRef>
                      </c:ext>
                    </c:extLst>
                    <c:strCache>
                      <c:ptCount val="1"/>
                      <c:pt idx="0">
                        <c:v>F1      (Unwirksam)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Daten!$L$2:$L$13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0.186</c:v>
                      </c:pt>
                      <c:pt idx="1">
                        <c:v>0.219</c:v>
                      </c:pt>
                      <c:pt idx="2">
                        <c:v>0.19500000000000001</c:v>
                      </c:pt>
                      <c:pt idx="3">
                        <c:v>0.115</c:v>
                      </c:pt>
                      <c:pt idx="4">
                        <c:v>0.22600000000000001</c:v>
                      </c:pt>
                      <c:pt idx="5">
                        <c:v>0.14199999999999999</c:v>
                      </c:pt>
                      <c:pt idx="6">
                        <c:v>0.11</c:v>
                      </c:pt>
                      <c:pt idx="7">
                        <c:v>0.152</c:v>
                      </c:pt>
                      <c:pt idx="8">
                        <c:v>0.16500000000000001</c:v>
                      </c:pt>
                      <c:pt idx="9">
                        <c:v>0.154</c:v>
                      </c:pt>
                      <c:pt idx="10">
                        <c:v>0.113</c:v>
                      </c:pt>
                      <c:pt idx="11">
                        <c:v>0.17199999999999999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CCA-4864-AB2E-AADACF3499FB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Daten!$M$1</c15:sqref>
                        </c15:formulaRef>
                      </c:ext>
                    </c:extLst>
                    <c:strCache>
                      <c:ptCount val="1"/>
                      <c:pt idx="0">
                        <c:v>Precision      (Wirksam)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Daten!$M$2:$M$13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0.97799999999999998</c:v>
                      </c:pt>
                      <c:pt idx="1">
                        <c:v>0.97899999999999998</c:v>
                      </c:pt>
                      <c:pt idx="2">
                        <c:v>0.97299999999999998</c:v>
                      </c:pt>
                      <c:pt idx="3">
                        <c:v>0.96299999999999997</c:v>
                      </c:pt>
                      <c:pt idx="4">
                        <c:v>0.96799999999999997</c:v>
                      </c:pt>
                      <c:pt idx="5">
                        <c:v>0.97</c:v>
                      </c:pt>
                      <c:pt idx="6">
                        <c:v>0.97299999999999998</c:v>
                      </c:pt>
                      <c:pt idx="7">
                        <c:v>0.97399999999999998</c:v>
                      </c:pt>
                      <c:pt idx="8">
                        <c:v>0.97</c:v>
                      </c:pt>
                      <c:pt idx="9">
                        <c:v>0.97199999999999998</c:v>
                      </c:pt>
                      <c:pt idx="10">
                        <c:v>0.99099999999999999</c:v>
                      </c:pt>
                      <c:pt idx="11">
                        <c:v>0.96499999999999997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CCA-4864-AB2E-AADACF3499FB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Daten!$N$1</c15:sqref>
                        </c15:formulaRef>
                      </c:ext>
                    </c:extLst>
                    <c:strCache>
                      <c:ptCount val="1"/>
                      <c:pt idx="0">
                        <c:v>Recall (Wirksam)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Daten!$N$2:$N$13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0.748</c:v>
                      </c:pt>
                      <c:pt idx="1">
                        <c:v>0.8</c:v>
                      </c:pt>
                      <c:pt idx="2">
                        <c:v>0.81499999999999995</c:v>
                      </c:pt>
                      <c:pt idx="3">
                        <c:v>0.74399999999999999</c:v>
                      </c:pt>
                      <c:pt idx="4">
                        <c:v>0.91</c:v>
                      </c:pt>
                      <c:pt idx="5">
                        <c:v>0.71</c:v>
                      </c:pt>
                      <c:pt idx="6">
                        <c:v>0.435</c:v>
                      </c:pt>
                      <c:pt idx="7">
                        <c:v>0.69699999999999995</c:v>
                      </c:pt>
                      <c:pt idx="8">
                        <c:v>0.79400000000000004</c:v>
                      </c:pt>
                      <c:pt idx="9">
                        <c:v>0.72599999999999998</c:v>
                      </c:pt>
                      <c:pt idx="10">
                        <c:v>0.3</c:v>
                      </c:pt>
                      <c:pt idx="11">
                        <c:v>0.873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CCA-4864-AB2E-AADACF3499FB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Daten!$O$1</c15:sqref>
                        </c15:formulaRef>
                      </c:ext>
                    </c:extLst>
                    <c:strCache>
                      <c:ptCount val="1"/>
                      <c:pt idx="0">
                        <c:v>F1                           (Wirksam)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Daten!$O$2:$O$13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0.84699999999999998</c:v>
                      </c:pt>
                      <c:pt idx="1">
                        <c:v>0.88</c:v>
                      </c:pt>
                      <c:pt idx="2">
                        <c:v>0.88700000000000001</c:v>
                      </c:pt>
                      <c:pt idx="3">
                        <c:v>0.83899999999999997</c:v>
                      </c:pt>
                      <c:pt idx="4">
                        <c:v>0.93799999999999994</c:v>
                      </c:pt>
                      <c:pt idx="5">
                        <c:v>0.82</c:v>
                      </c:pt>
                      <c:pt idx="6">
                        <c:v>0.60099999999999998</c:v>
                      </c:pt>
                      <c:pt idx="7">
                        <c:v>0.81200000000000006</c:v>
                      </c:pt>
                      <c:pt idx="8">
                        <c:v>0.873</c:v>
                      </c:pt>
                      <c:pt idx="9">
                        <c:v>0.83099999999999996</c:v>
                      </c:pt>
                      <c:pt idx="10">
                        <c:v>0.46</c:v>
                      </c:pt>
                      <c:pt idx="11">
                        <c:v>0.91700000000000004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2CCA-4864-AB2E-AADACF3499FB}"/>
                  </c:ext>
                </c:extLst>
              </c15:ser>
            </c15:filteredBarSeries>
            <c15:filteredB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Daten!$P$1</c15:sqref>
                        </c15:formulaRef>
                      </c:ext>
                    </c:extLst>
                    <c:strCache>
                      <c:ptCount val="1"/>
                      <c:pt idx="0">
                        <c:v>F1           (macro)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Daten!$P$2:$P$13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0.51700000000000002</c:v>
                      </c:pt>
                      <c:pt idx="1">
                        <c:v>0.55000000000000004</c:v>
                      </c:pt>
                      <c:pt idx="2">
                        <c:v>0.54100000000000004</c:v>
                      </c:pt>
                      <c:pt idx="3">
                        <c:v>0.47699999999999998</c:v>
                      </c:pt>
                      <c:pt idx="4">
                        <c:v>0.58199999999999996</c:v>
                      </c:pt>
                      <c:pt idx="5">
                        <c:v>0.48099999999999998</c:v>
                      </c:pt>
                      <c:pt idx="6">
                        <c:v>0.35499999999999998</c:v>
                      </c:pt>
                      <c:pt idx="7">
                        <c:v>0.48199999999999998</c:v>
                      </c:pt>
                      <c:pt idx="8">
                        <c:v>0.51900000000000002</c:v>
                      </c:pt>
                      <c:pt idx="9">
                        <c:v>0.49299999999999999</c:v>
                      </c:pt>
                      <c:pt idx="10">
                        <c:v>0.28699999999999998</c:v>
                      </c:pt>
                      <c:pt idx="11">
                        <c:v>0.54400000000000004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2CCA-4864-AB2E-AADACF3499FB}"/>
                  </c:ext>
                </c:extLst>
              </c15:ser>
            </c15:filteredBarSeries>
            <c15:filteredBa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Daten!$Q$1</c15:sqref>
                        </c15:formulaRef>
                      </c:ext>
                    </c:extLst>
                    <c:strCache>
                      <c:ptCount val="1"/>
                      <c:pt idx="0">
                        <c:v>F1                 (weighted)</c:v>
                      </c:pt>
                    </c:strCache>
                  </c:strRef>
                </c:tx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Daten!$Q$2:$Q$13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0.81699999999999995</c:v>
                      </c:pt>
                      <c:pt idx="1">
                        <c:v>0.85</c:v>
                      </c:pt>
                      <c:pt idx="2">
                        <c:v>0.85499999999999998</c:v>
                      </c:pt>
                      <c:pt idx="3">
                        <c:v>0.80600000000000005</c:v>
                      </c:pt>
                      <c:pt idx="4">
                        <c:v>0.90600000000000003</c:v>
                      </c:pt>
                      <c:pt idx="5">
                        <c:v>0.78900000000000003</c:v>
                      </c:pt>
                      <c:pt idx="6">
                        <c:v>0.57899999999999996</c:v>
                      </c:pt>
                      <c:pt idx="7">
                        <c:v>0.78200000000000003</c:v>
                      </c:pt>
                      <c:pt idx="8">
                        <c:v>0.84099999999999997</c:v>
                      </c:pt>
                      <c:pt idx="9">
                        <c:v>0.8</c:v>
                      </c:pt>
                      <c:pt idx="10">
                        <c:v>0.44400000000000001</c:v>
                      </c:pt>
                      <c:pt idx="11">
                        <c:v>0.88300000000000001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2CCA-4864-AB2E-AADACF3499FB}"/>
                  </c:ext>
                </c:extLst>
              </c15:ser>
            </c15:filteredBarSeries>
          </c:ext>
        </c:extLst>
      </c:barChart>
      <c:catAx>
        <c:axId val="110115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01152736"/>
        <c:crosses val="autoZero"/>
        <c:auto val="1"/>
        <c:lblAlgn val="ctr"/>
        <c:lblOffset val="100"/>
        <c:noMultiLvlLbl val="0"/>
      </c:catAx>
      <c:valAx>
        <c:axId val="110115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01157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Prec, Rec, F1 unwirksam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8"/>
          <c:order val="8"/>
          <c:tx>
            <c:strRef>
              <c:f>Daten!$J$1</c:f>
              <c:strCache>
                <c:ptCount val="1"/>
                <c:pt idx="0">
                  <c:v>Precision      (Unwirksam)</c:v>
                </c:pt>
              </c:strCache>
              <c:extLst xmlns:c15="http://schemas.microsoft.com/office/drawing/2012/chart"/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Daten!$A$2:$A$13</c:f>
              <c:strCache>
                <c:ptCount val="12"/>
                <c:pt idx="0">
                  <c:v>Grok-3</c:v>
                </c:pt>
                <c:pt idx="1">
                  <c:v>GPT5</c:v>
                </c:pt>
                <c:pt idx="2">
                  <c:v>GPT4</c:v>
                </c:pt>
                <c:pt idx="3">
                  <c:v>OSS120B</c:v>
                </c:pt>
                <c:pt idx="4">
                  <c:v>GPT o4-mini</c:v>
                </c:pt>
                <c:pt idx="5">
                  <c:v>DeepseekR1</c:v>
                </c:pt>
                <c:pt idx="6">
                  <c:v>OSS20B</c:v>
                </c:pt>
                <c:pt idx="7">
                  <c:v>Gemma27B</c:v>
                </c:pt>
                <c:pt idx="8">
                  <c:v>Mistral8B</c:v>
                </c:pt>
                <c:pt idx="9">
                  <c:v>LLama38B</c:v>
                </c:pt>
                <c:pt idx="10">
                  <c:v>Llama3DiscoLeo8B</c:v>
                </c:pt>
                <c:pt idx="11">
                  <c:v>GeminiFlashLite2.5</c:v>
                </c:pt>
              </c:strCache>
              <c:extLst xmlns:c15="http://schemas.microsoft.com/office/drawing/2012/chart"/>
            </c:strRef>
          </c:cat>
          <c:val>
            <c:numRef>
              <c:f>Daten!$J$2:$J$13</c:f>
              <c:numCache>
                <c:formatCode>General</c:formatCode>
                <c:ptCount val="12"/>
                <c:pt idx="0">
                  <c:v>0.109</c:v>
                </c:pt>
                <c:pt idx="1">
                  <c:v>0.13200000000000001</c:v>
                </c:pt>
                <c:pt idx="2">
                  <c:v>0.12</c:v>
                </c:pt>
                <c:pt idx="3">
                  <c:v>6.7000000000000004E-2</c:v>
                </c:pt>
                <c:pt idx="4">
                  <c:v>0.16300000000000001</c:v>
                </c:pt>
                <c:pt idx="5">
                  <c:v>8.2000000000000003E-2</c:v>
                </c:pt>
                <c:pt idx="6">
                  <c:v>5.8999999999999997E-2</c:v>
                </c:pt>
                <c:pt idx="7">
                  <c:v>8.6999999999999994E-2</c:v>
                </c:pt>
                <c:pt idx="8">
                  <c:v>0.1</c:v>
                </c:pt>
                <c:pt idx="9">
                  <c:v>8.8999999999999996E-2</c:v>
                </c:pt>
                <c:pt idx="10">
                  <c:v>0.06</c:v>
                </c:pt>
                <c:pt idx="11">
                  <c:v>0.114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8-D5A3-413E-AB0F-C69C4FE8FBD1}"/>
            </c:ext>
          </c:extLst>
        </c:ser>
        <c:ser>
          <c:idx val="9"/>
          <c:order val="9"/>
          <c:tx>
            <c:strRef>
              <c:f>Daten!$K$1</c:f>
              <c:strCache>
                <c:ptCount val="1"/>
                <c:pt idx="0">
                  <c:v>Recall      (Unwirksam)</c:v>
                </c:pt>
              </c:strCache>
              <c:extLst xmlns:c15="http://schemas.microsoft.com/office/drawing/2012/chart"/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Daten!$A$2:$A$13</c:f>
              <c:strCache>
                <c:ptCount val="12"/>
                <c:pt idx="0">
                  <c:v>Grok-3</c:v>
                </c:pt>
                <c:pt idx="1">
                  <c:v>GPT5</c:v>
                </c:pt>
                <c:pt idx="2">
                  <c:v>GPT4</c:v>
                </c:pt>
                <c:pt idx="3">
                  <c:v>OSS120B</c:v>
                </c:pt>
                <c:pt idx="4">
                  <c:v>GPT o4-mini</c:v>
                </c:pt>
                <c:pt idx="5">
                  <c:v>DeepseekR1</c:v>
                </c:pt>
                <c:pt idx="6">
                  <c:v>OSS20B</c:v>
                </c:pt>
                <c:pt idx="7">
                  <c:v>Gemma27B</c:v>
                </c:pt>
                <c:pt idx="8">
                  <c:v>Mistral8B</c:v>
                </c:pt>
                <c:pt idx="9">
                  <c:v>LLama38B</c:v>
                </c:pt>
                <c:pt idx="10">
                  <c:v>Llama3DiscoLeo8B</c:v>
                </c:pt>
                <c:pt idx="11">
                  <c:v>GeminiFlashLite2.5</c:v>
                </c:pt>
              </c:strCache>
              <c:extLst xmlns:c15="http://schemas.microsoft.com/office/drawing/2012/chart"/>
            </c:strRef>
          </c:cat>
          <c:val>
            <c:numRef>
              <c:f>Daten!$K$2:$K$13</c:f>
              <c:numCache>
                <c:formatCode>General</c:formatCode>
                <c:ptCount val="12"/>
                <c:pt idx="0">
                  <c:v>0.64200000000000002</c:v>
                </c:pt>
                <c:pt idx="1">
                  <c:v>0.63500000000000001</c:v>
                </c:pt>
                <c:pt idx="2">
                  <c:v>0.52600000000000002</c:v>
                </c:pt>
                <c:pt idx="3">
                  <c:v>0.39</c:v>
                </c:pt>
                <c:pt idx="4">
                  <c:v>0.36799999999999999</c:v>
                </c:pt>
                <c:pt idx="5">
                  <c:v>0.54</c:v>
                </c:pt>
                <c:pt idx="6">
                  <c:v>0.748</c:v>
                </c:pt>
                <c:pt idx="7">
                  <c:v>0.60299999999999998</c:v>
                </c:pt>
                <c:pt idx="8">
                  <c:v>0.47799999999999998</c:v>
                </c:pt>
                <c:pt idx="9">
                  <c:v>0.56200000000000006</c:v>
                </c:pt>
                <c:pt idx="10">
                  <c:v>0.94099999999999995</c:v>
                </c:pt>
                <c:pt idx="11">
                  <c:v>0.34300000000000003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9-D5A3-413E-AB0F-C69C4FE8FBD1}"/>
            </c:ext>
          </c:extLst>
        </c:ser>
        <c:ser>
          <c:idx val="10"/>
          <c:order val="10"/>
          <c:tx>
            <c:strRef>
              <c:f>Daten!$L$1</c:f>
              <c:strCache>
                <c:ptCount val="1"/>
                <c:pt idx="0">
                  <c:v>F1      (Unwirksam)</c:v>
                </c:pt>
              </c:strCache>
              <c:extLst xmlns:c15="http://schemas.microsoft.com/office/drawing/2012/chart"/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Daten!$A$2:$A$13</c:f>
              <c:strCache>
                <c:ptCount val="12"/>
                <c:pt idx="0">
                  <c:v>Grok-3</c:v>
                </c:pt>
                <c:pt idx="1">
                  <c:v>GPT5</c:v>
                </c:pt>
                <c:pt idx="2">
                  <c:v>GPT4</c:v>
                </c:pt>
                <c:pt idx="3">
                  <c:v>OSS120B</c:v>
                </c:pt>
                <c:pt idx="4">
                  <c:v>GPT o4-mini</c:v>
                </c:pt>
                <c:pt idx="5">
                  <c:v>DeepseekR1</c:v>
                </c:pt>
                <c:pt idx="6">
                  <c:v>OSS20B</c:v>
                </c:pt>
                <c:pt idx="7">
                  <c:v>Gemma27B</c:v>
                </c:pt>
                <c:pt idx="8">
                  <c:v>Mistral8B</c:v>
                </c:pt>
                <c:pt idx="9">
                  <c:v>LLama38B</c:v>
                </c:pt>
                <c:pt idx="10">
                  <c:v>Llama3DiscoLeo8B</c:v>
                </c:pt>
                <c:pt idx="11">
                  <c:v>GeminiFlashLite2.5</c:v>
                </c:pt>
              </c:strCache>
              <c:extLst xmlns:c15="http://schemas.microsoft.com/office/drawing/2012/chart"/>
            </c:strRef>
          </c:cat>
          <c:val>
            <c:numRef>
              <c:f>Daten!$L$2:$L$13</c:f>
              <c:numCache>
                <c:formatCode>General</c:formatCode>
                <c:ptCount val="12"/>
                <c:pt idx="0">
                  <c:v>0.186</c:v>
                </c:pt>
                <c:pt idx="1">
                  <c:v>0.219</c:v>
                </c:pt>
                <c:pt idx="2">
                  <c:v>0.19500000000000001</c:v>
                </c:pt>
                <c:pt idx="3">
                  <c:v>0.115</c:v>
                </c:pt>
                <c:pt idx="4">
                  <c:v>0.22600000000000001</c:v>
                </c:pt>
                <c:pt idx="5">
                  <c:v>0.14199999999999999</c:v>
                </c:pt>
                <c:pt idx="6">
                  <c:v>0.11</c:v>
                </c:pt>
                <c:pt idx="7">
                  <c:v>0.152</c:v>
                </c:pt>
                <c:pt idx="8">
                  <c:v>0.16500000000000001</c:v>
                </c:pt>
                <c:pt idx="9">
                  <c:v>0.154</c:v>
                </c:pt>
                <c:pt idx="10">
                  <c:v>0.113</c:v>
                </c:pt>
                <c:pt idx="11">
                  <c:v>0.17199999999999999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A-D5A3-413E-AB0F-C69C4FE8F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1157056"/>
        <c:axId val="110115273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Daten!$B$1</c15:sqref>
                        </c15:formulaRef>
                      </c:ext>
                    </c:extLst>
                    <c:strCache>
                      <c:ptCount val="1"/>
                      <c:pt idx="0">
                        <c:v>Gesamtanzahl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Daten!$B$2:$B$13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3004</c:v>
                      </c:pt>
                      <c:pt idx="1">
                        <c:v>3004</c:v>
                      </c:pt>
                      <c:pt idx="2">
                        <c:v>3004</c:v>
                      </c:pt>
                      <c:pt idx="3">
                        <c:v>3004</c:v>
                      </c:pt>
                      <c:pt idx="4">
                        <c:v>3004</c:v>
                      </c:pt>
                      <c:pt idx="5">
                        <c:v>3004</c:v>
                      </c:pt>
                      <c:pt idx="6">
                        <c:v>3004</c:v>
                      </c:pt>
                      <c:pt idx="7">
                        <c:v>3004</c:v>
                      </c:pt>
                      <c:pt idx="8">
                        <c:v>3004</c:v>
                      </c:pt>
                      <c:pt idx="9">
                        <c:v>3004</c:v>
                      </c:pt>
                      <c:pt idx="10">
                        <c:v>3004</c:v>
                      </c:pt>
                      <c:pt idx="11">
                        <c:v>3004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D5A3-413E-AB0F-C69C4FE8FBD1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Daten!$C$1</c15:sqref>
                        </c15:formulaRef>
                      </c:ext>
                    </c:extLst>
                    <c:strCache>
                      <c:ptCount val="1"/>
                      <c:pt idx="0">
                        <c:v>Anzahl_Klassifikationen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Daten!$C$2:$C$13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2996</c:v>
                      </c:pt>
                      <c:pt idx="1">
                        <c:v>2990</c:v>
                      </c:pt>
                      <c:pt idx="2">
                        <c:v>2998</c:v>
                      </c:pt>
                      <c:pt idx="3">
                        <c:v>3002</c:v>
                      </c:pt>
                      <c:pt idx="4">
                        <c:v>2996</c:v>
                      </c:pt>
                      <c:pt idx="5">
                        <c:v>2998</c:v>
                      </c:pt>
                      <c:pt idx="6">
                        <c:v>2973</c:v>
                      </c:pt>
                      <c:pt idx="7">
                        <c:v>2989</c:v>
                      </c:pt>
                      <c:pt idx="8">
                        <c:v>2996</c:v>
                      </c:pt>
                      <c:pt idx="9">
                        <c:v>3002</c:v>
                      </c:pt>
                      <c:pt idx="10">
                        <c:v>2995</c:v>
                      </c:pt>
                      <c:pt idx="11">
                        <c:v>3000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5A3-413E-AB0F-C69C4FE8FBD1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Daten!$D$1</c15:sqref>
                        </c15:formulaRef>
                      </c:ext>
                    </c:extLst>
                    <c:strCache>
                      <c:ptCount val="1"/>
                      <c:pt idx="0">
                        <c:v>Fehlende ('-'/NaN/leer)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Daten!$D$2:$D$13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</c:v>
                      </c:pt>
                      <c:pt idx="1">
                        <c:v>14</c:v>
                      </c:pt>
                      <c:pt idx="2">
                        <c:v>6</c:v>
                      </c:pt>
                      <c:pt idx="3">
                        <c:v>2</c:v>
                      </c:pt>
                      <c:pt idx="4">
                        <c:v>8</c:v>
                      </c:pt>
                      <c:pt idx="5">
                        <c:v>6</c:v>
                      </c:pt>
                      <c:pt idx="6">
                        <c:v>31</c:v>
                      </c:pt>
                      <c:pt idx="7">
                        <c:v>15</c:v>
                      </c:pt>
                      <c:pt idx="8">
                        <c:v>8</c:v>
                      </c:pt>
                      <c:pt idx="9">
                        <c:v>2</c:v>
                      </c:pt>
                      <c:pt idx="10">
                        <c:v>9</c:v>
                      </c:pt>
                      <c:pt idx="11">
                        <c:v>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5A3-413E-AB0F-C69C4FE8FBD1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Daten!$E$1</c15:sqref>
                        </c15:formulaRef>
                      </c:ext>
                    </c:extLst>
                    <c:strCache>
                      <c:ptCount val="1"/>
                      <c:pt idx="0">
                        <c:v>Accuracy (bereinigt)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Daten!$E$2:$E$13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0.74299999999999999</c:v>
                      </c:pt>
                      <c:pt idx="1">
                        <c:v>0.79300000000000004</c:v>
                      </c:pt>
                      <c:pt idx="2">
                        <c:v>0.80200000000000005</c:v>
                      </c:pt>
                      <c:pt idx="3">
                        <c:v>0.72799999999999998</c:v>
                      </c:pt>
                      <c:pt idx="4">
                        <c:v>0.88600000000000001</c:v>
                      </c:pt>
                      <c:pt idx="5">
                        <c:v>0.70199999999999996</c:v>
                      </c:pt>
                      <c:pt idx="6">
                        <c:v>0.44900000000000001</c:v>
                      </c:pt>
                      <c:pt idx="7">
                        <c:v>0.69299999999999995</c:v>
                      </c:pt>
                      <c:pt idx="8">
                        <c:v>0.78</c:v>
                      </c:pt>
                      <c:pt idx="9">
                        <c:v>0.71899999999999997</c:v>
                      </c:pt>
                      <c:pt idx="10">
                        <c:v>0.32900000000000001</c:v>
                      </c:pt>
                      <c:pt idx="11">
                        <c:v>0.84899999999999998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D5A3-413E-AB0F-C69C4FE8FBD1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Daten!$F$1</c15:sqref>
                        </c15:formulaRef>
                      </c:ext>
                    </c:extLst>
                    <c:strCache>
                      <c:ptCount val="1"/>
                      <c:pt idx="0">
                        <c:v>TP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Daten!$F$2:$F$13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88</c:v>
                      </c:pt>
                      <c:pt idx="1">
                        <c:v>87</c:v>
                      </c:pt>
                      <c:pt idx="2">
                        <c:v>72</c:v>
                      </c:pt>
                      <c:pt idx="3">
                        <c:v>53</c:v>
                      </c:pt>
                      <c:pt idx="4">
                        <c:v>50</c:v>
                      </c:pt>
                      <c:pt idx="5">
                        <c:v>74</c:v>
                      </c:pt>
                      <c:pt idx="6">
                        <c:v>101</c:v>
                      </c:pt>
                      <c:pt idx="7">
                        <c:v>82</c:v>
                      </c:pt>
                      <c:pt idx="8">
                        <c:v>65</c:v>
                      </c:pt>
                      <c:pt idx="9">
                        <c:v>77</c:v>
                      </c:pt>
                      <c:pt idx="10">
                        <c:v>128</c:v>
                      </c:pt>
                      <c:pt idx="11">
                        <c:v>47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5A3-413E-AB0F-C69C4FE8FBD1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Daten!$G$1</c15:sqref>
                        </c15:formulaRef>
                      </c:ext>
                    </c:extLst>
                    <c:strCache>
                      <c:ptCount val="1"/>
                      <c:pt idx="0">
                        <c:v>FP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Daten!$G$2:$G$13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721</c:v>
                      </c:pt>
                      <c:pt idx="1">
                        <c:v>570</c:v>
                      </c:pt>
                      <c:pt idx="2">
                        <c:v>530</c:v>
                      </c:pt>
                      <c:pt idx="3">
                        <c:v>734</c:v>
                      </c:pt>
                      <c:pt idx="4">
                        <c:v>256</c:v>
                      </c:pt>
                      <c:pt idx="5">
                        <c:v>830</c:v>
                      </c:pt>
                      <c:pt idx="6">
                        <c:v>1604</c:v>
                      </c:pt>
                      <c:pt idx="7">
                        <c:v>864</c:v>
                      </c:pt>
                      <c:pt idx="8">
                        <c:v>588</c:v>
                      </c:pt>
                      <c:pt idx="9">
                        <c:v>785</c:v>
                      </c:pt>
                      <c:pt idx="10">
                        <c:v>2002</c:v>
                      </c:pt>
                      <c:pt idx="11">
                        <c:v>364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5A3-413E-AB0F-C69C4FE8FBD1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Daten!$H$1</c15:sqref>
                        </c15:formulaRef>
                      </c:ext>
                    </c:extLst>
                    <c:strCache>
                      <c:ptCount val="1"/>
                      <c:pt idx="0">
                        <c:v>FN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Daten!$H$2:$H$13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49</c:v>
                      </c:pt>
                      <c:pt idx="1">
                        <c:v>50</c:v>
                      </c:pt>
                      <c:pt idx="2">
                        <c:v>65</c:v>
                      </c:pt>
                      <c:pt idx="3">
                        <c:v>83</c:v>
                      </c:pt>
                      <c:pt idx="4">
                        <c:v>86</c:v>
                      </c:pt>
                      <c:pt idx="5">
                        <c:v>63</c:v>
                      </c:pt>
                      <c:pt idx="6">
                        <c:v>34</c:v>
                      </c:pt>
                      <c:pt idx="7">
                        <c:v>54</c:v>
                      </c:pt>
                      <c:pt idx="8">
                        <c:v>71</c:v>
                      </c:pt>
                      <c:pt idx="9">
                        <c:v>60</c:v>
                      </c:pt>
                      <c:pt idx="10">
                        <c:v>8</c:v>
                      </c:pt>
                      <c:pt idx="11">
                        <c:v>90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5A3-413E-AB0F-C69C4FE8FBD1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Daten!$I$1</c15:sqref>
                        </c15:formulaRef>
                      </c:ext>
                    </c:extLst>
                    <c:strCache>
                      <c:ptCount val="1"/>
                      <c:pt idx="0">
                        <c:v>TN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Daten!$I$2:$I$13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2138</c:v>
                      </c:pt>
                      <c:pt idx="1">
                        <c:v>2283</c:v>
                      </c:pt>
                      <c:pt idx="2">
                        <c:v>2331</c:v>
                      </c:pt>
                      <c:pt idx="3">
                        <c:v>2132</c:v>
                      </c:pt>
                      <c:pt idx="4">
                        <c:v>2604</c:v>
                      </c:pt>
                      <c:pt idx="5">
                        <c:v>2031</c:v>
                      </c:pt>
                      <c:pt idx="6">
                        <c:v>1234</c:v>
                      </c:pt>
                      <c:pt idx="7">
                        <c:v>1989</c:v>
                      </c:pt>
                      <c:pt idx="8">
                        <c:v>2272</c:v>
                      </c:pt>
                      <c:pt idx="9">
                        <c:v>2080</c:v>
                      </c:pt>
                      <c:pt idx="10">
                        <c:v>857</c:v>
                      </c:pt>
                      <c:pt idx="11">
                        <c:v>2499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5A3-413E-AB0F-C69C4FE8FBD1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Daten!$M$1</c15:sqref>
                        </c15:formulaRef>
                      </c:ext>
                    </c:extLst>
                    <c:strCache>
                      <c:ptCount val="1"/>
                      <c:pt idx="0">
                        <c:v>Precision      (Wirksam)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Daten!$M$2:$M$13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0.97799999999999998</c:v>
                      </c:pt>
                      <c:pt idx="1">
                        <c:v>0.97899999999999998</c:v>
                      </c:pt>
                      <c:pt idx="2">
                        <c:v>0.97299999999999998</c:v>
                      </c:pt>
                      <c:pt idx="3">
                        <c:v>0.96299999999999997</c:v>
                      </c:pt>
                      <c:pt idx="4">
                        <c:v>0.96799999999999997</c:v>
                      </c:pt>
                      <c:pt idx="5">
                        <c:v>0.97</c:v>
                      </c:pt>
                      <c:pt idx="6">
                        <c:v>0.97299999999999998</c:v>
                      </c:pt>
                      <c:pt idx="7">
                        <c:v>0.97399999999999998</c:v>
                      </c:pt>
                      <c:pt idx="8">
                        <c:v>0.97</c:v>
                      </c:pt>
                      <c:pt idx="9">
                        <c:v>0.97199999999999998</c:v>
                      </c:pt>
                      <c:pt idx="10">
                        <c:v>0.99099999999999999</c:v>
                      </c:pt>
                      <c:pt idx="11">
                        <c:v>0.96499999999999997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5A3-413E-AB0F-C69C4FE8FBD1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Daten!$N$1</c15:sqref>
                        </c15:formulaRef>
                      </c:ext>
                    </c:extLst>
                    <c:strCache>
                      <c:ptCount val="1"/>
                      <c:pt idx="0">
                        <c:v>Recall (Wirksam)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Daten!$N$2:$N$13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0.748</c:v>
                      </c:pt>
                      <c:pt idx="1">
                        <c:v>0.8</c:v>
                      </c:pt>
                      <c:pt idx="2">
                        <c:v>0.81499999999999995</c:v>
                      </c:pt>
                      <c:pt idx="3">
                        <c:v>0.74399999999999999</c:v>
                      </c:pt>
                      <c:pt idx="4">
                        <c:v>0.91</c:v>
                      </c:pt>
                      <c:pt idx="5">
                        <c:v>0.71</c:v>
                      </c:pt>
                      <c:pt idx="6">
                        <c:v>0.435</c:v>
                      </c:pt>
                      <c:pt idx="7">
                        <c:v>0.69699999999999995</c:v>
                      </c:pt>
                      <c:pt idx="8">
                        <c:v>0.79400000000000004</c:v>
                      </c:pt>
                      <c:pt idx="9">
                        <c:v>0.72599999999999998</c:v>
                      </c:pt>
                      <c:pt idx="10">
                        <c:v>0.3</c:v>
                      </c:pt>
                      <c:pt idx="11">
                        <c:v>0.873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D5A3-413E-AB0F-C69C4FE8FBD1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Daten!$O$1</c15:sqref>
                        </c15:formulaRef>
                      </c:ext>
                    </c:extLst>
                    <c:strCache>
                      <c:ptCount val="1"/>
                      <c:pt idx="0">
                        <c:v>F1                           (Wirksam)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Daten!$O$2:$O$13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0.84699999999999998</c:v>
                      </c:pt>
                      <c:pt idx="1">
                        <c:v>0.88</c:v>
                      </c:pt>
                      <c:pt idx="2">
                        <c:v>0.88700000000000001</c:v>
                      </c:pt>
                      <c:pt idx="3">
                        <c:v>0.83899999999999997</c:v>
                      </c:pt>
                      <c:pt idx="4">
                        <c:v>0.93799999999999994</c:v>
                      </c:pt>
                      <c:pt idx="5">
                        <c:v>0.82</c:v>
                      </c:pt>
                      <c:pt idx="6">
                        <c:v>0.60099999999999998</c:v>
                      </c:pt>
                      <c:pt idx="7">
                        <c:v>0.81200000000000006</c:v>
                      </c:pt>
                      <c:pt idx="8">
                        <c:v>0.873</c:v>
                      </c:pt>
                      <c:pt idx="9">
                        <c:v>0.83099999999999996</c:v>
                      </c:pt>
                      <c:pt idx="10">
                        <c:v>0.46</c:v>
                      </c:pt>
                      <c:pt idx="11">
                        <c:v>0.91700000000000004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D5A3-413E-AB0F-C69C4FE8FBD1}"/>
                  </c:ext>
                </c:extLst>
              </c15:ser>
            </c15:filteredBarSeries>
            <c15:filteredB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Daten!$P$1</c15:sqref>
                        </c15:formulaRef>
                      </c:ext>
                    </c:extLst>
                    <c:strCache>
                      <c:ptCount val="1"/>
                      <c:pt idx="0">
                        <c:v>F1           (macro)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Daten!$P$2:$P$13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0.51700000000000002</c:v>
                      </c:pt>
                      <c:pt idx="1">
                        <c:v>0.55000000000000004</c:v>
                      </c:pt>
                      <c:pt idx="2">
                        <c:v>0.54100000000000004</c:v>
                      </c:pt>
                      <c:pt idx="3">
                        <c:v>0.47699999999999998</c:v>
                      </c:pt>
                      <c:pt idx="4">
                        <c:v>0.58199999999999996</c:v>
                      </c:pt>
                      <c:pt idx="5">
                        <c:v>0.48099999999999998</c:v>
                      </c:pt>
                      <c:pt idx="6">
                        <c:v>0.35499999999999998</c:v>
                      </c:pt>
                      <c:pt idx="7">
                        <c:v>0.48199999999999998</c:v>
                      </c:pt>
                      <c:pt idx="8">
                        <c:v>0.51900000000000002</c:v>
                      </c:pt>
                      <c:pt idx="9">
                        <c:v>0.49299999999999999</c:v>
                      </c:pt>
                      <c:pt idx="10">
                        <c:v>0.28699999999999998</c:v>
                      </c:pt>
                      <c:pt idx="11">
                        <c:v>0.54400000000000004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D5A3-413E-AB0F-C69C4FE8FBD1}"/>
                  </c:ext>
                </c:extLst>
              </c15:ser>
            </c15:filteredBarSeries>
            <c15:filteredBa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Daten!$Q$1</c15:sqref>
                        </c15:formulaRef>
                      </c:ext>
                    </c:extLst>
                    <c:strCache>
                      <c:ptCount val="1"/>
                      <c:pt idx="0">
                        <c:v>F1                 (weighted)</c:v>
                      </c:pt>
                    </c:strCache>
                  </c:strRef>
                </c:tx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Daten!$Q$2:$Q$13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0.81699999999999995</c:v>
                      </c:pt>
                      <c:pt idx="1">
                        <c:v>0.85</c:v>
                      </c:pt>
                      <c:pt idx="2">
                        <c:v>0.85499999999999998</c:v>
                      </c:pt>
                      <c:pt idx="3">
                        <c:v>0.80600000000000005</c:v>
                      </c:pt>
                      <c:pt idx="4">
                        <c:v>0.90600000000000003</c:v>
                      </c:pt>
                      <c:pt idx="5">
                        <c:v>0.78900000000000003</c:v>
                      </c:pt>
                      <c:pt idx="6">
                        <c:v>0.57899999999999996</c:v>
                      </c:pt>
                      <c:pt idx="7">
                        <c:v>0.78200000000000003</c:v>
                      </c:pt>
                      <c:pt idx="8">
                        <c:v>0.84099999999999997</c:v>
                      </c:pt>
                      <c:pt idx="9">
                        <c:v>0.8</c:v>
                      </c:pt>
                      <c:pt idx="10">
                        <c:v>0.44400000000000001</c:v>
                      </c:pt>
                      <c:pt idx="11">
                        <c:v>0.88300000000000001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D5A3-413E-AB0F-C69C4FE8FBD1}"/>
                  </c:ext>
                </c:extLst>
              </c15:ser>
            </c15:filteredBarSeries>
          </c:ext>
        </c:extLst>
      </c:barChart>
      <c:catAx>
        <c:axId val="110115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01152736"/>
        <c:crosses val="autoZero"/>
        <c:auto val="1"/>
        <c:lblAlgn val="ctr"/>
        <c:lblOffset val="100"/>
        <c:noMultiLvlLbl val="0"/>
      </c:catAx>
      <c:valAx>
        <c:axId val="110115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01157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Prec, Rec, F1 wirksam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11"/>
          <c:order val="11"/>
          <c:tx>
            <c:strRef>
              <c:f>Daten!$M$1</c:f>
              <c:strCache>
                <c:ptCount val="1"/>
                <c:pt idx="0">
                  <c:v>Precision      (Wirksam)</c:v>
                </c:pt>
              </c:strCache>
              <c:extLst xmlns:c15="http://schemas.microsoft.com/office/drawing/2012/chart"/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Daten!$A$2:$A$13</c:f>
              <c:strCache>
                <c:ptCount val="12"/>
                <c:pt idx="0">
                  <c:v>Grok-3</c:v>
                </c:pt>
                <c:pt idx="1">
                  <c:v>GPT5</c:v>
                </c:pt>
                <c:pt idx="2">
                  <c:v>GPT4</c:v>
                </c:pt>
                <c:pt idx="3">
                  <c:v>OSS120B</c:v>
                </c:pt>
                <c:pt idx="4">
                  <c:v>GPT o4-mini</c:v>
                </c:pt>
                <c:pt idx="5">
                  <c:v>DeepseekR1</c:v>
                </c:pt>
                <c:pt idx="6">
                  <c:v>OSS20B</c:v>
                </c:pt>
                <c:pt idx="7">
                  <c:v>Gemma27B</c:v>
                </c:pt>
                <c:pt idx="8">
                  <c:v>Mistral8B</c:v>
                </c:pt>
                <c:pt idx="9">
                  <c:v>LLama38B</c:v>
                </c:pt>
                <c:pt idx="10">
                  <c:v>Llama3DiscoLeo8B</c:v>
                </c:pt>
                <c:pt idx="11">
                  <c:v>GeminiFlashLite2.5</c:v>
                </c:pt>
              </c:strCache>
              <c:extLst xmlns:c15="http://schemas.microsoft.com/office/drawing/2012/chart"/>
            </c:strRef>
          </c:cat>
          <c:val>
            <c:numRef>
              <c:f>Daten!$M$2:$M$13</c:f>
              <c:numCache>
                <c:formatCode>General</c:formatCode>
                <c:ptCount val="12"/>
                <c:pt idx="0">
                  <c:v>0.97799999999999998</c:v>
                </c:pt>
                <c:pt idx="1">
                  <c:v>0.97899999999999998</c:v>
                </c:pt>
                <c:pt idx="2">
                  <c:v>0.97299999999999998</c:v>
                </c:pt>
                <c:pt idx="3">
                  <c:v>0.96299999999999997</c:v>
                </c:pt>
                <c:pt idx="4">
                  <c:v>0.96799999999999997</c:v>
                </c:pt>
                <c:pt idx="5">
                  <c:v>0.97</c:v>
                </c:pt>
                <c:pt idx="6">
                  <c:v>0.97299999999999998</c:v>
                </c:pt>
                <c:pt idx="7">
                  <c:v>0.97399999999999998</c:v>
                </c:pt>
                <c:pt idx="8">
                  <c:v>0.97</c:v>
                </c:pt>
                <c:pt idx="9">
                  <c:v>0.97199999999999998</c:v>
                </c:pt>
                <c:pt idx="10">
                  <c:v>0.99099999999999999</c:v>
                </c:pt>
                <c:pt idx="11">
                  <c:v>0.96499999999999997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B-BA6E-4744-9744-CDC6217E7ED2}"/>
            </c:ext>
          </c:extLst>
        </c:ser>
        <c:ser>
          <c:idx val="12"/>
          <c:order val="12"/>
          <c:tx>
            <c:strRef>
              <c:f>Daten!$N$1</c:f>
              <c:strCache>
                <c:ptCount val="1"/>
                <c:pt idx="0">
                  <c:v>Recall (Wirksam)</c:v>
                </c:pt>
              </c:strCache>
              <c:extLst xmlns:c15="http://schemas.microsoft.com/office/drawing/2012/chart"/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Daten!$A$2:$A$13</c:f>
              <c:strCache>
                <c:ptCount val="12"/>
                <c:pt idx="0">
                  <c:v>Grok-3</c:v>
                </c:pt>
                <c:pt idx="1">
                  <c:v>GPT5</c:v>
                </c:pt>
                <c:pt idx="2">
                  <c:v>GPT4</c:v>
                </c:pt>
                <c:pt idx="3">
                  <c:v>OSS120B</c:v>
                </c:pt>
                <c:pt idx="4">
                  <c:v>GPT o4-mini</c:v>
                </c:pt>
                <c:pt idx="5">
                  <c:v>DeepseekR1</c:v>
                </c:pt>
                <c:pt idx="6">
                  <c:v>OSS20B</c:v>
                </c:pt>
                <c:pt idx="7">
                  <c:v>Gemma27B</c:v>
                </c:pt>
                <c:pt idx="8">
                  <c:v>Mistral8B</c:v>
                </c:pt>
                <c:pt idx="9">
                  <c:v>LLama38B</c:v>
                </c:pt>
                <c:pt idx="10">
                  <c:v>Llama3DiscoLeo8B</c:v>
                </c:pt>
                <c:pt idx="11">
                  <c:v>GeminiFlashLite2.5</c:v>
                </c:pt>
              </c:strCache>
              <c:extLst xmlns:c15="http://schemas.microsoft.com/office/drawing/2012/chart"/>
            </c:strRef>
          </c:cat>
          <c:val>
            <c:numRef>
              <c:f>Daten!$N$2:$N$13</c:f>
              <c:numCache>
                <c:formatCode>General</c:formatCode>
                <c:ptCount val="12"/>
                <c:pt idx="0">
                  <c:v>0.748</c:v>
                </c:pt>
                <c:pt idx="1">
                  <c:v>0.8</c:v>
                </c:pt>
                <c:pt idx="2">
                  <c:v>0.81499999999999995</c:v>
                </c:pt>
                <c:pt idx="3">
                  <c:v>0.74399999999999999</c:v>
                </c:pt>
                <c:pt idx="4">
                  <c:v>0.91</c:v>
                </c:pt>
                <c:pt idx="5">
                  <c:v>0.71</c:v>
                </c:pt>
                <c:pt idx="6">
                  <c:v>0.435</c:v>
                </c:pt>
                <c:pt idx="7">
                  <c:v>0.69699999999999995</c:v>
                </c:pt>
                <c:pt idx="8">
                  <c:v>0.79400000000000004</c:v>
                </c:pt>
                <c:pt idx="9">
                  <c:v>0.72599999999999998</c:v>
                </c:pt>
                <c:pt idx="10">
                  <c:v>0.3</c:v>
                </c:pt>
                <c:pt idx="11">
                  <c:v>0.873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C-BA6E-4744-9744-CDC6217E7ED2}"/>
            </c:ext>
          </c:extLst>
        </c:ser>
        <c:ser>
          <c:idx val="13"/>
          <c:order val="13"/>
          <c:tx>
            <c:strRef>
              <c:f>Daten!$O$1</c:f>
              <c:strCache>
                <c:ptCount val="1"/>
                <c:pt idx="0">
                  <c:v>F1                           (Wirksam)</c:v>
                </c:pt>
              </c:strCache>
              <c:extLst xmlns:c15="http://schemas.microsoft.com/office/drawing/2012/chart"/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Daten!$A$2:$A$13</c:f>
              <c:strCache>
                <c:ptCount val="12"/>
                <c:pt idx="0">
                  <c:v>Grok-3</c:v>
                </c:pt>
                <c:pt idx="1">
                  <c:v>GPT5</c:v>
                </c:pt>
                <c:pt idx="2">
                  <c:v>GPT4</c:v>
                </c:pt>
                <c:pt idx="3">
                  <c:v>OSS120B</c:v>
                </c:pt>
                <c:pt idx="4">
                  <c:v>GPT o4-mini</c:v>
                </c:pt>
                <c:pt idx="5">
                  <c:v>DeepseekR1</c:v>
                </c:pt>
                <c:pt idx="6">
                  <c:v>OSS20B</c:v>
                </c:pt>
                <c:pt idx="7">
                  <c:v>Gemma27B</c:v>
                </c:pt>
                <c:pt idx="8">
                  <c:v>Mistral8B</c:v>
                </c:pt>
                <c:pt idx="9">
                  <c:v>LLama38B</c:v>
                </c:pt>
                <c:pt idx="10">
                  <c:v>Llama3DiscoLeo8B</c:v>
                </c:pt>
                <c:pt idx="11">
                  <c:v>GeminiFlashLite2.5</c:v>
                </c:pt>
              </c:strCache>
              <c:extLst xmlns:c15="http://schemas.microsoft.com/office/drawing/2012/chart"/>
            </c:strRef>
          </c:cat>
          <c:val>
            <c:numRef>
              <c:f>Daten!$O$2:$O$13</c:f>
              <c:numCache>
                <c:formatCode>General</c:formatCode>
                <c:ptCount val="12"/>
                <c:pt idx="0">
                  <c:v>0.84699999999999998</c:v>
                </c:pt>
                <c:pt idx="1">
                  <c:v>0.88</c:v>
                </c:pt>
                <c:pt idx="2">
                  <c:v>0.88700000000000001</c:v>
                </c:pt>
                <c:pt idx="3">
                  <c:v>0.83899999999999997</c:v>
                </c:pt>
                <c:pt idx="4">
                  <c:v>0.93799999999999994</c:v>
                </c:pt>
                <c:pt idx="5">
                  <c:v>0.82</c:v>
                </c:pt>
                <c:pt idx="6">
                  <c:v>0.60099999999999998</c:v>
                </c:pt>
                <c:pt idx="7">
                  <c:v>0.81200000000000006</c:v>
                </c:pt>
                <c:pt idx="8">
                  <c:v>0.873</c:v>
                </c:pt>
                <c:pt idx="9">
                  <c:v>0.83099999999999996</c:v>
                </c:pt>
                <c:pt idx="10">
                  <c:v>0.46</c:v>
                </c:pt>
                <c:pt idx="11">
                  <c:v>0.91700000000000004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D-BA6E-4744-9744-CDC6217E7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1157056"/>
        <c:axId val="110115273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Daten!$B$1</c15:sqref>
                        </c15:formulaRef>
                      </c:ext>
                    </c:extLst>
                    <c:strCache>
                      <c:ptCount val="1"/>
                      <c:pt idx="0">
                        <c:v>Gesamtanzahl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Daten!$B$2:$B$13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3004</c:v>
                      </c:pt>
                      <c:pt idx="1">
                        <c:v>3004</c:v>
                      </c:pt>
                      <c:pt idx="2">
                        <c:v>3004</c:v>
                      </c:pt>
                      <c:pt idx="3">
                        <c:v>3004</c:v>
                      </c:pt>
                      <c:pt idx="4">
                        <c:v>3004</c:v>
                      </c:pt>
                      <c:pt idx="5">
                        <c:v>3004</c:v>
                      </c:pt>
                      <c:pt idx="6">
                        <c:v>3004</c:v>
                      </c:pt>
                      <c:pt idx="7">
                        <c:v>3004</c:v>
                      </c:pt>
                      <c:pt idx="8">
                        <c:v>3004</c:v>
                      </c:pt>
                      <c:pt idx="9">
                        <c:v>3004</c:v>
                      </c:pt>
                      <c:pt idx="10">
                        <c:v>3004</c:v>
                      </c:pt>
                      <c:pt idx="11">
                        <c:v>3004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BA6E-4744-9744-CDC6217E7ED2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Daten!$C$1</c15:sqref>
                        </c15:formulaRef>
                      </c:ext>
                    </c:extLst>
                    <c:strCache>
                      <c:ptCount val="1"/>
                      <c:pt idx="0">
                        <c:v>Anzahl_Klassifikationen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Daten!$C$2:$C$13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2996</c:v>
                      </c:pt>
                      <c:pt idx="1">
                        <c:v>2990</c:v>
                      </c:pt>
                      <c:pt idx="2">
                        <c:v>2998</c:v>
                      </c:pt>
                      <c:pt idx="3">
                        <c:v>3002</c:v>
                      </c:pt>
                      <c:pt idx="4">
                        <c:v>2996</c:v>
                      </c:pt>
                      <c:pt idx="5">
                        <c:v>2998</c:v>
                      </c:pt>
                      <c:pt idx="6">
                        <c:v>2973</c:v>
                      </c:pt>
                      <c:pt idx="7">
                        <c:v>2989</c:v>
                      </c:pt>
                      <c:pt idx="8">
                        <c:v>2996</c:v>
                      </c:pt>
                      <c:pt idx="9">
                        <c:v>3002</c:v>
                      </c:pt>
                      <c:pt idx="10">
                        <c:v>2995</c:v>
                      </c:pt>
                      <c:pt idx="11">
                        <c:v>3000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A6E-4744-9744-CDC6217E7ED2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Daten!$D$1</c15:sqref>
                        </c15:formulaRef>
                      </c:ext>
                    </c:extLst>
                    <c:strCache>
                      <c:ptCount val="1"/>
                      <c:pt idx="0">
                        <c:v>Fehlende ('-'/NaN/leer)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Daten!$D$2:$D$13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</c:v>
                      </c:pt>
                      <c:pt idx="1">
                        <c:v>14</c:v>
                      </c:pt>
                      <c:pt idx="2">
                        <c:v>6</c:v>
                      </c:pt>
                      <c:pt idx="3">
                        <c:v>2</c:v>
                      </c:pt>
                      <c:pt idx="4">
                        <c:v>8</c:v>
                      </c:pt>
                      <c:pt idx="5">
                        <c:v>6</c:v>
                      </c:pt>
                      <c:pt idx="6">
                        <c:v>31</c:v>
                      </c:pt>
                      <c:pt idx="7">
                        <c:v>15</c:v>
                      </c:pt>
                      <c:pt idx="8">
                        <c:v>8</c:v>
                      </c:pt>
                      <c:pt idx="9">
                        <c:v>2</c:v>
                      </c:pt>
                      <c:pt idx="10">
                        <c:v>9</c:v>
                      </c:pt>
                      <c:pt idx="11">
                        <c:v>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A6E-4744-9744-CDC6217E7ED2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Daten!$E$1</c15:sqref>
                        </c15:formulaRef>
                      </c:ext>
                    </c:extLst>
                    <c:strCache>
                      <c:ptCount val="1"/>
                      <c:pt idx="0">
                        <c:v>Accuracy (bereinigt)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Daten!$E$2:$E$13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0.74299999999999999</c:v>
                      </c:pt>
                      <c:pt idx="1">
                        <c:v>0.79300000000000004</c:v>
                      </c:pt>
                      <c:pt idx="2">
                        <c:v>0.80200000000000005</c:v>
                      </c:pt>
                      <c:pt idx="3">
                        <c:v>0.72799999999999998</c:v>
                      </c:pt>
                      <c:pt idx="4">
                        <c:v>0.88600000000000001</c:v>
                      </c:pt>
                      <c:pt idx="5">
                        <c:v>0.70199999999999996</c:v>
                      </c:pt>
                      <c:pt idx="6">
                        <c:v>0.44900000000000001</c:v>
                      </c:pt>
                      <c:pt idx="7">
                        <c:v>0.69299999999999995</c:v>
                      </c:pt>
                      <c:pt idx="8">
                        <c:v>0.78</c:v>
                      </c:pt>
                      <c:pt idx="9">
                        <c:v>0.71899999999999997</c:v>
                      </c:pt>
                      <c:pt idx="10">
                        <c:v>0.32900000000000001</c:v>
                      </c:pt>
                      <c:pt idx="11">
                        <c:v>0.84899999999999998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A6E-4744-9744-CDC6217E7ED2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Daten!$F$1</c15:sqref>
                        </c15:formulaRef>
                      </c:ext>
                    </c:extLst>
                    <c:strCache>
                      <c:ptCount val="1"/>
                      <c:pt idx="0">
                        <c:v>TP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Daten!$F$2:$F$13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88</c:v>
                      </c:pt>
                      <c:pt idx="1">
                        <c:v>87</c:v>
                      </c:pt>
                      <c:pt idx="2">
                        <c:v>72</c:v>
                      </c:pt>
                      <c:pt idx="3">
                        <c:v>53</c:v>
                      </c:pt>
                      <c:pt idx="4">
                        <c:v>50</c:v>
                      </c:pt>
                      <c:pt idx="5">
                        <c:v>74</c:v>
                      </c:pt>
                      <c:pt idx="6">
                        <c:v>101</c:v>
                      </c:pt>
                      <c:pt idx="7">
                        <c:v>82</c:v>
                      </c:pt>
                      <c:pt idx="8">
                        <c:v>65</c:v>
                      </c:pt>
                      <c:pt idx="9">
                        <c:v>77</c:v>
                      </c:pt>
                      <c:pt idx="10">
                        <c:v>128</c:v>
                      </c:pt>
                      <c:pt idx="11">
                        <c:v>47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A6E-4744-9744-CDC6217E7ED2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Daten!$G$1</c15:sqref>
                        </c15:formulaRef>
                      </c:ext>
                    </c:extLst>
                    <c:strCache>
                      <c:ptCount val="1"/>
                      <c:pt idx="0">
                        <c:v>FP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Daten!$G$2:$G$13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721</c:v>
                      </c:pt>
                      <c:pt idx="1">
                        <c:v>570</c:v>
                      </c:pt>
                      <c:pt idx="2">
                        <c:v>530</c:v>
                      </c:pt>
                      <c:pt idx="3">
                        <c:v>734</c:v>
                      </c:pt>
                      <c:pt idx="4">
                        <c:v>256</c:v>
                      </c:pt>
                      <c:pt idx="5">
                        <c:v>830</c:v>
                      </c:pt>
                      <c:pt idx="6">
                        <c:v>1604</c:v>
                      </c:pt>
                      <c:pt idx="7">
                        <c:v>864</c:v>
                      </c:pt>
                      <c:pt idx="8">
                        <c:v>588</c:v>
                      </c:pt>
                      <c:pt idx="9">
                        <c:v>785</c:v>
                      </c:pt>
                      <c:pt idx="10">
                        <c:v>2002</c:v>
                      </c:pt>
                      <c:pt idx="11">
                        <c:v>364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BA6E-4744-9744-CDC6217E7ED2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Daten!$H$1</c15:sqref>
                        </c15:formulaRef>
                      </c:ext>
                    </c:extLst>
                    <c:strCache>
                      <c:ptCount val="1"/>
                      <c:pt idx="0">
                        <c:v>FN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Daten!$H$2:$H$13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49</c:v>
                      </c:pt>
                      <c:pt idx="1">
                        <c:v>50</c:v>
                      </c:pt>
                      <c:pt idx="2">
                        <c:v>65</c:v>
                      </c:pt>
                      <c:pt idx="3">
                        <c:v>83</c:v>
                      </c:pt>
                      <c:pt idx="4">
                        <c:v>86</c:v>
                      </c:pt>
                      <c:pt idx="5">
                        <c:v>63</c:v>
                      </c:pt>
                      <c:pt idx="6">
                        <c:v>34</c:v>
                      </c:pt>
                      <c:pt idx="7">
                        <c:v>54</c:v>
                      </c:pt>
                      <c:pt idx="8">
                        <c:v>71</c:v>
                      </c:pt>
                      <c:pt idx="9">
                        <c:v>60</c:v>
                      </c:pt>
                      <c:pt idx="10">
                        <c:v>8</c:v>
                      </c:pt>
                      <c:pt idx="11">
                        <c:v>90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BA6E-4744-9744-CDC6217E7ED2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Daten!$I$1</c15:sqref>
                        </c15:formulaRef>
                      </c:ext>
                    </c:extLst>
                    <c:strCache>
                      <c:ptCount val="1"/>
                      <c:pt idx="0">
                        <c:v>TN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Daten!$I$2:$I$13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2138</c:v>
                      </c:pt>
                      <c:pt idx="1">
                        <c:v>2283</c:v>
                      </c:pt>
                      <c:pt idx="2">
                        <c:v>2331</c:v>
                      </c:pt>
                      <c:pt idx="3">
                        <c:v>2132</c:v>
                      </c:pt>
                      <c:pt idx="4">
                        <c:v>2604</c:v>
                      </c:pt>
                      <c:pt idx="5">
                        <c:v>2031</c:v>
                      </c:pt>
                      <c:pt idx="6">
                        <c:v>1234</c:v>
                      </c:pt>
                      <c:pt idx="7">
                        <c:v>1989</c:v>
                      </c:pt>
                      <c:pt idx="8">
                        <c:v>2272</c:v>
                      </c:pt>
                      <c:pt idx="9">
                        <c:v>2080</c:v>
                      </c:pt>
                      <c:pt idx="10">
                        <c:v>857</c:v>
                      </c:pt>
                      <c:pt idx="11">
                        <c:v>2499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BA6E-4744-9744-CDC6217E7ED2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Daten!$J$1</c15:sqref>
                        </c15:formulaRef>
                      </c:ext>
                    </c:extLst>
                    <c:strCache>
                      <c:ptCount val="1"/>
                      <c:pt idx="0">
                        <c:v>Precision      (Unwirksam)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Daten!$J$2:$J$13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0.109</c:v>
                      </c:pt>
                      <c:pt idx="1">
                        <c:v>0.13200000000000001</c:v>
                      </c:pt>
                      <c:pt idx="2">
                        <c:v>0.12</c:v>
                      </c:pt>
                      <c:pt idx="3">
                        <c:v>6.7000000000000004E-2</c:v>
                      </c:pt>
                      <c:pt idx="4">
                        <c:v>0.16300000000000001</c:v>
                      </c:pt>
                      <c:pt idx="5">
                        <c:v>8.2000000000000003E-2</c:v>
                      </c:pt>
                      <c:pt idx="6">
                        <c:v>5.8999999999999997E-2</c:v>
                      </c:pt>
                      <c:pt idx="7">
                        <c:v>8.6999999999999994E-2</c:v>
                      </c:pt>
                      <c:pt idx="8">
                        <c:v>0.1</c:v>
                      </c:pt>
                      <c:pt idx="9">
                        <c:v>8.8999999999999996E-2</c:v>
                      </c:pt>
                      <c:pt idx="10">
                        <c:v>0.06</c:v>
                      </c:pt>
                      <c:pt idx="11">
                        <c:v>0.114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BA6E-4744-9744-CDC6217E7ED2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Daten!$K$1</c15:sqref>
                        </c15:formulaRef>
                      </c:ext>
                    </c:extLst>
                    <c:strCache>
                      <c:ptCount val="1"/>
                      <c:pt idx="0">
                        <c:v>Recall      (Unwirksam)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Daten!$K$2:$K$13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0.64200000000000002</c:v>
                      </c:pt>
                      <c:pt idx="1">
                        <c:v>0.63500000000000001</c:v>
                      </c:pt>
                      <c:pt idx="2">
                        <c:v>0.52600000000000002</c:v>
                      </c:pt>
                      <c:pt idx="3">
                        <c:v>0.39</c:v>
                      </c:pt>
                      <c:pt idx="4">
                        <c:v>0.36799999999999999</c:v>
                      </c:pt>
                      <c:pt idx="5">
                        <c:v>0.54</c:v>
                      </c:pt>
                      <c:pt idx="6">
                        <c:v>0.748</c:v>
                      </c:pt>
                      <c:pt idx="7">
                        <c:v>0.60299999999999998</c:v>
                      </c:pt>
                      <c:pt idx="8">
                        <c:v>0.47799999999999998</c:v>
                      </c:pt>
                      <c:pt idx="9">
                        <c:v>0.56200000000000006</c:v>
                      </c:pt>
                      <c:pt idx="10">
                        <c:v>0.94099999999999995</c:v>
                      </c:pt>
                      <c:pt idx="11">
                        <c:v>0.34300000000000003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BA6E-4744-9744-CDC6217E7ED2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Daten!$L$1</c15:sqref>
                        </c15:formulaRef>
                      </c:ext>
                    </c:extLst>
                    <c:strCache>
                      <c:ptCount val="1"/>
                      <c:pt idx="0">
                        <c:v>F1      (Unwirksam)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Daten!$L$2:$L$13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0.186</c:v>
                      </c:pt>
                      <c:pt idx="1">
                        <c:v>0.219</c:v>
                      </c:pt>
                      <c:pt idx="2">
                        <c:v>0.19500000000000001</c:v>
                      </c:pt>
                      <c:pt idx="3">
                        <c:v>0.115</c:v>
                      </c:pt>
                      <c:pt idx="4">
                        <c:v>0.22600000000000001</c:v>
                      </c:pt>
                      <c:pt idx="5">
                        <c:v>0.14199999999999999</c:v>
                      </c:pt>
                      <c:pt idx="6">
                        <c:v>0.11</c:v>
                      </c:pt>
                      <c:pt idx="7">
                        <c:v>0.152</c:v>
                      </c:pt>
                      <c:pt idx="8">
                        <c:v>0.16500000000000001</c:v>
                      </c:pt>
                      <c:pt idx="9">
                        <c:v>0.154</c:v>
                      </c:pt>
                      <c:pt idx="10">
                        <c:v>0.113</c:v>
                      </c:pt>
                      <c:pt idx="11">
                        <c:v>0.17199999999999999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A6E-4744-9744-CDC6217E7ED2}"/>
                  </c:ext>
                </c:extLst>
              </c15:ser>
            </c15:filteredBarSeries>
            <c15:filteredB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Daten!$P$1</c15:sqref>
                        </c15:formulaRef>
                      </c:ext>
                    </c:extLst>
                    <c:strCache>
                      <c:ptCount val="1"/>
                      <c:pt idx="0">
                        <c:v>F1           (macro)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Daten!$P$2:$P$13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0.51700000000000002</c:v>
                      </c:pt>
                      <c:pt idx="1">
                        <c:v>0.55000000000000004</c:v>
                      </c:pt>
                      <c:pt idx="2">
                        <c:v>0.54100000000000004</c:v>
                      </c:pt>
                      <c:pt idx="3">
                        <c:v>0.47699999999999998</c:v>
                      </c:pt>
                      <c:pt idx="4">
                        <c:v>0.58199999999999996</c:v>
                      </c:pt>
                      <c:pt idx="5">
                        <c:v>0.48099999999999998</c:v>
                      </c:pt>
                      <c:pt idx="6">
                        <c:v>0.35499999999999998</c:v>
                      </c:pt>
                      <c:pt idx="7">
                        <c:v>0.48199999999999998</c:v>
                      </c:pt>
                      <c:pt idx="8">
                        <c:v>0.51900000000000002</c:v>
                      </c:pt>
                      <c:pt idx="9">
                        <c:v>0.49299999999999999</c:v>
                      </c:pt>
                      <c:pt idx="10">
                        <c:v>0.28699999999999998</c:v>
                      </c:pt>
                      <c:pt idx="11">
                        <c:v>0.54400000000000004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BA6E-4744-9744-CDC6217E7ED2}"/>
                  </c:ext>
                </c:extLst>
              </c15:ser>
            </c15:filteredBarSeries>
            <c15:filteredBa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Daten!$Q$1</c15:sqref>
                        </c15:formulaRef>
                      </c:ext>
                    </c:extLst>
                    <c:strCache>
                      <c:ptCount val="1"/>
                      <c:pt idx="0">
                        <c:v>F1                 (weighted)</c:v>
                      </c:pt>
                    </c:strCache>
                  </c:strRef>
                </c:tx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Daten!$Q$2:$Q$13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0.81699999999999995</c:v>
                      </c:pt>
                      <c:pt idx="1">
                        <c:v>0.85</c:v>
                      </c:pt>
                      <c:pt idx="2">
                        <c:v>0.85499999999999998</c:v>
                      </c:pt>
                      <c:pt idx="3">
                        <c:v>0.80600000000000005</c:v>
                      </c:pt>
                      <c:pt idx="4">
                        <c:v>0.90600000000000003</c:v>
                      </c:pt>
                      <c:pt idx="5">
                        <c:v>0.78900000000000003</c:v>
                      </c:pt>
                      <c:pt idx="6">
                        <c:v>0.57899999999999996</c:v>
                      </c:pt>
                      <c:pt idx="7">
                        <c:v>0.78200000000000003</c:v>
                      </c:pt>
                      <c:pt idx="8">
                        <c:v>0.84099999999999997</c:v>
                      </c:pt>
                      <c:pt idx="9">
                        <c:v>0.8</c:v>
                      </c:pt>
                      <c:pt idx="10">
                        <c:v>0.44400000000000001</c:v>
                      </c:pt>
                      <c:pt idx="11">
                        <c:v>0.88300000000000001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BA6E-4744-9744-CDC6217E7ED2}"/>
                  </c:ext>
                </c:extLst>
              </c15:ser>
            </c15:filteredBarSeries>
          </c:ext>
        </c:extLst>
      </c:barChart>
      <c:catAx>
        <c:axId val="110115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01152736"/>
        <c:crosses val="autoZero"/>
        <c:auto val="1"/>
        <c:lblAlgn val="ctr"/>
        <c:lblOffset val="100"/>
        <c:noMultiLvlLbl val="0"/>
      </c:catAx>
      <c:valAx>
        <c:axId val="110115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01157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F1 wirksam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13"/>
          <c:order val="13"/>
          <c:tx>
            <c:strRef>
              <c:f>Daten!$O$1</c:f>
              <c:strCache>
                <c:ptCount val="1"/>
                <c:pt idx="0">
                  <c:v>F1                           (Wirksam)</c:v>
                </c:pt>
              </c:strCache>
              <c:extLst xmlns:c15="http://schemas.microsoft.com/office/drawing/2012/chart"/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Daten!$A$2:$A$13</c:f>
              <c:strCache>
                <c:ptCount val="12"/>
                <c:pt idx="0">
                  <c:v>Grok-3</c:v>
                </c:pt>
                <c:pt idx="1">
                  <c:v>GPT5</c:v>
                </c:pt>
                <c:pt idx="2">
                  <c:v>GPT4</c:v>
                </c:pt>
                <c:pt idx="3">
                  <c:v>OSS120B</c:v>
                </c:pt>
                <c:pt idx="4">
                  <c:v>GPT o4-mini</c:v>
                </c:pt>
                <c:pt idx="5">
                  <c:v>DeepseekR1</c:v>
                </c:pt>
                <c:pt idx="6">
                  <c:v>OSS20B</c:v>
                </c:pt>
                <c:pt idx="7">
                  <c:v>Gemma27B</c:v>
                </c:pt>
                <c:pt idx="8">
                  <c:v>Mistral8B</c:v>
                </c:pt>
                <c:pt idx="9">
                  <c:v>LLama38B</c:v>
                </c:pt>
                <c:pt idx="10">
                  <c:v>Llama3DiscoLeo8B</c:v>
                </c:pt>
                <c:pt idx="11">
                  <c:v>GeminiFlashLite2.5</c:v>
                </c:pt>
              </c:strCache>
              <c:extLst xmlns:c15="http://schemas.microsoft.com/office/drawing/2012/chart"/>
            </c:strRef>
          </c:cat>
          <c:val>
            <c:numRef>
              <c:f>Daten!$O$2:$O$13</c:f>
              <c:numCache>
                <c:formatCode>General</c:formatCode>
                <c:ptCount val="12"/>
                <c:pt idx="0">
                  <c:v>0.84699999999999998</c:v>
                </c:pt>
                <c:pt idx="1">
                  <c:v>0.88</c:v>
                </c:pt>
                <c:pt idx="2">
                  <c:v>0.88700000000000001</c:v>
                </c:pt>
                <c:pt idx="3">
                  <c:v>0.83899999999999997</c:v>
                </c:pt>
                <c:pt idx="4">
                  <c:v>0.93799999999999994</c:v>
                </c:pt>
                <c:pt idx="5">
                  <c:v>0.82</c:v>
                </c:pt>
                <c:pt idx="6">
                  <c:v>0.60099999999999998</c:v>
                </c:pt>
                <c:pt idx="7">
                  <c:v>0.81200000000000006</c:v>
                </c:pt>
                <c:pt idx="8">
                  <c:v>0.873</c:v>
                </c:pt>
                <c:pt idx="9">
                  <c:v>0.83099999999999996</c:v>
                </c:pt>
                <c:pt idx="10">
                  <c:v>0.46</c:v>
                </c:pt>
                <c:pt idx="11">
                  <c:v>0.91700000000000004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2-2D53-4DF0-B157-E2A2A221E8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1157056"/>
        <c:axId val="110115273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Daten!$B$1</c15:sqref>
                        </c15:formulaRef>
                      </c:ext>
                    </c:extLst>
                    <c:strCache>
                      <c:ptCount val="1"/>
                      <c:pt idx="0">
                        <c:v>Gesamtanzahl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Daten!$B$2:$B$13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3004</c:v>
                      </c:pt>
                      <c:pt idx="1">
                        <c:v>3004</c:v>
                      </c:pt>
                      <c:pt idx="2">
                        <c:v>3004</c:v>
                      </c:pt>
                      <c:pt idx="3">
                        <c:v>3004</c:v>
                      </c:pt>
                      <c:pt idx="4">
                        <c:v>3004</c:v>
                      </c:pt>
                      <c:pt idx="5">
                        <c:v>3004</c:v>
                      </c:pt>
                      <c:pt idx="6">
                        <c:v>3004</c:v>
                      </c:pt>
                      <c:pt idx="7">
                        <c:v>3004</c:v>
                      </c:pt>
                      <c:pt idx="8">
                        <c:v>3004</c:v>
                      </c:pt>
                      <c:pt idx="9">
                        <c:v>3004</c:v>
                      </c:pt>
                      <c:pt idx="10">
                        <c:v>3004</c:v>
                      </c:pt>
                      <c:pt idx="11">
                        <c:v>3004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2D53-4DF0-B157-E2A2A221E8E5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Daten!$C$1</c15:sqref>
                        </c15:formulaRef>
                      </c:ext>
                    </c:extLst>
                    <c:strCache>
                      <c:ptCount val="1"/>
                      <c:pt idx="0">
                        <c:v>Anzahl_Klassifikationen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Daten!$C$2:$C$13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2996</c:v>
                      </c:pt>
                      <c:pt idx="1">
                        <c:v>2990</c:v>
                      </c:pt>
                      <c:pt idx="2">
                        <c:v>2998</c:v>
                      </c:pt>
                      <c:pt idx="3">
                        <c:v>3002</c:v>
                      </c:pt>
                      <c:pt idx="4">
                        <c:v>2996</c:v>
                      </c:pt>
                      <c:pt idx="5">
                        <c:v>2998</c:v>
                      </c:pt>
                      <c:pt idx="6">
                        <c:v>2973</c:v>
                      </c:pt>
                      <c:pt idx="7">
                        <c:v>2989</c:v>
                      </c:pt>
                      <c:pt idx="8">
                        <c:v>2996</c:v>
                      </c:pt>
                      <c:pt idx="9">
                        <c:v>3002</c:v>
                      </c:pt>
                      <c:pt idx="10">
                        <c:v>2995</c:v>
                      </c:pt>
                      <c:pt idx="11">
                        <c:v>3000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D53-4DF0-B157-E2A2A221E8E5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Daten!$D$1</c15:sqref>
                        </c15:formulaRef>
                      </c:ext>
                    </c:extLst>
                    <c:strCache>
                      <c:ptCount val="1"/>
                      <c:pt idx="0">
                        <c:v>Fehlende ('-'/NaN/leer)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Daten!$D$2:$D$13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</c:v>
                      </c:pt>
                      <c:pt idx="1">
                        <c:v>14</c:v>
                      </c:pt>
                      <c:pt idx="2">
                        <c:v>6</c:v>
                      </c:pt>
                      <c:pt idx="3">
                        <c:v>2</c:v>
                      </c:pt>
                      <c:pt idx="4">
                        <c:v>8</c:v>
                      </c:pt>
                      <c:pt idx="5">
                        <c:v>6</c:v>
                      </c:pt>
                      <c:pt idx="6">
                        <c:v>31</c:v>
                      </c:pt>
                      <c:pt idx="7">
                        <c:v>15</c:v>
                      </c:pt>
                      <c:pt idx="8">
                        <c:v>8</c:v>
                      </c:pt>
                      <c:pt idx="9">
                        <c:v>2</c:v>
                      </c:pt>
                      <c:pt idx="10">
                        <c:v>9</c:v>
                      </c:pt>
                      <c:pt idx="11">
                        <c:v>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D53-4DF0-B157-E2A2A221E8E5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Daten!$E$1</c15:sqref>
                        </c15:formulaRef>
                      </c:ext>
                    </c:extLst>
                    <c:strCache>
                      <c:ptCount val="1"/>
                      <c:pt idx="0">
                        <c:v>Accuracy (bereinigt)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Daten!$E$2:$E$13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0.74299999999999999</c:v>
                      </c:pt>
                      <c:pt idx="1">
                        <c:v>0.79300000000000004</c:v>
                      </c:pt>
                      <c:pt idx="2">
                        <c:v>0.80200000000000005</c:v>
                      </c:pt>
                      <c:pt idx="3">
                        <c:v>0.72799999999999998</c:v>
                      </c:pt>
                      <c:pt idx="4">
                        <c:v>0.88600000000000001</c:v>
                      </c:pt>
                      <c:pt idx="5">
                        <c:v>0.70199999999999996</c:v>
                      </c:pt>
                      <c:pt idx="6">
                        <c:v>0.44900000000000001</c:v>
                      </c:pt>
                      <c:pt idx="7">
                        <c:v>0.69299999999999995</c:v>
                      </c:pt>
                      <c:pt idx="8">
                        <c:v>0.78</c:v>
                      </c:pt>
                      <c:pt idx="9">
                        <c:v>0.71899999999999997</c:v>
                      </c:pt>
                      <c:pt idx="10">
                        <c:v>0.32900000000000001</c:v>
                      </c:pt>
                      <c:pt idx="11">
                        <c:v>0.84899999999999998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D53-4DF0-B157-E2A2A221E8E5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Daten!$F$1</c15:sqref>
                        </c15:formulaRef>
                      </c:ext>
                    </c:extLst>
                    <c:strCache>
                      <c:ptCount val="1"/>
                      <c:pt idx="0">
                        <c:v>TP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Daten!$F$2:$F$13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88</c:v>
                      </c:pt>
                      <c:pt idx="1">
                        <c:v>87</c:v>
                      </c:pt>
                      <c:pt idx="2">
                        <c:v>72</c:v>
                      </c:pt>
                      <c:pt idx="3">
                        <c:v>53</c:v>
                      </c:pt>
                      <c:pt idx="4">
                        <c:v>50</c:v>
                      </c:pt>
                      <c:pt idx="5">
                        <c:v>74</c:v>
                      </c:pt>
                      <c:pt idx="6">
                        <c:v>101</c:v>
                      </c:pt>
                      <c:pt idx="7">
                        <c:v>82</c:v>
                      </c:pt>
                      <c:pt idx="8">
                        <c:v>65</c:v>
                      </c:pt>
                      <c:pt idx="9">
                        <c:v>77</c:v>
                      </c:pt>
                      <c:pt idx="10">
                        <c:v>128</c:v>
                      </c:pt>
                      <c:pt idx="11">
                        <c:v>47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D53-4DF0-B157-E2A2A221E8E5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Daten!$G$1</c15:sqref>
                        </c15:formulaRef>
                      </c:ext>
                    </c:extLst>
                    <c:strCache>
                      <c:ptCount val="1"/>
                      <c:pt idx="0">
                        <c:v>FP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Daten!$G$2:$G$13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721</c:v>
                      </c:pt>
                      <c:pt idx="1">
                        <c:v>570</c:v>
                      </c:pt>
                      <c:pt idx="2">
                        <c:v>530</c:v>
                      </c:pt>
                      <c:pt idx="3">
                        <c:v>734</c:v>
                      </c:pt>
                      <c:pt idx="4">
                        <c:v>256</c:v>
                      </c:pt>
                      <c:pt idx="5">
                        <c:v>830</c:v>
                      </c:pt>
                      <c:pt idx="6">
                        <c:v>1604</c:v>
                      </c:pt>
                      <c:pt idx="7">
                        <c:v>864</c:v>
                      </c:pt>
                      <c:pt idx="8">
                        <c:v>588</c:v>
                      </c:pt>
                      <c:pt idx="9">
                        <c:v>785</c:v>
                      </c:pt>
                      <c:pt idx="10">
                        <c:v>2002</c:v>
                      </c:pt>
                      <c:pt idx="11">
                        <c:v>364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2D53-4DF0-B157-E2A2A221E8E5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Daten!$H$1</c15:sqref>
                        </c15:formulaRef>
                      </c:ext>
                    </c:extLst>
                    <c:strCache>
                      <c:ptCount val="1"/>
                      <c:pt idx="0">
                        <c:v>FN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Daten!$H$2:$H$13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49</c:v>
                      </c:pt>
                      <c:pt idx="1">
                        <c:v>50</c:v>
                      </c:pt>
                      <c:pt idx="2">
                        <c:v>65</c:v>
                      </c:pt>
                      <c:pt idx="3">
                        <c:v>83</c:v>
                      </c:pt>
                      <c:pt idx="4">
                        <c:v>86</c:v>
                      </c:pt>
                      <c:pt idx="5">
                        <c:v>63</c:v>
                      </c:pt>
                      <c:pt idx="6">
                        <c:v>34</c:v>
                      </c:pt>
                      <c:pt idx="7">
                        <c:v>54</c:v>
                      </c:pt>
                      <c:pt idx="8">
                        <c:v>71</c:v>
                      </c:pt>
                      <c:pt idx="9">
                        <c:v>60</c:v>
                      </c:pt>
                      <c:pt idx="10">
                        <c:v>8</c:v>
                      </c:pt>
                      <c:pt idx="11">
                        <c:v>90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2D53-4DF0-B157-E2A2A221E8E5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Daten!$I$1</c15:sqref>
                        </c15:formulaRef>
                      </c:ext>
                    </c:extLst>
                    <c:strCache>
                      <c:ptCount val="1"/>
                      <c:pt idx="0">
                        <c:v>TN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Daten!$I$2:$I$13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2138</c:v>
                      </c:pt>
                      <c:pt idx="1">
                        <c:v>2283</c:v>
                      </c:pt>
                      <c:pt idx="2">
                        <c:v>2331</c:v>
                      </c:pt>
                      <c:pt idx="3">
                        <c:v>2132</c:v>
                      </c:pt>
                      <c:pt idx="4">
                        <c:v>2604</c:v>
                      </c:pt>
                      <c:pt idx="5">
                        <c:v>2031</c:v>
                      </c:pt>
                      <c:pt idx="6">
                        <c:v>1234</c:v>
                      </c:pt>
                      <c:pt idx="7">
                        <c:v>1989</c:v>
                      </c:pt>
                      <c:pt idx="8">
                        <c:v>2272</c:v>
                      </c:pt>
                      <c:pt idx="9">
                        <c:v>2080</c:v>
                      </c:pt>
                      <c:pt idx="10">
                        <c:v>857</c:v>
                      </c:pt>
                      <c:pt idx="11">
                        <c:v>2499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2D53-4DF0-B157-E2A2A221E8E5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Daten!$J$1</c15:sqref>
                        </c15:formulaRef>
                      </c:ext>
                    </c:extLst>
                    <c:strCache>
                      <c:ptCount val="1"/>
                      <c:pt idx="0">
                        <c:v>Precision      (Unwirksam)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Daten!$J$2:$J$13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0.109</c:v>
                      </c:pt>
                      <c:pt idx="1">
                        <c:v>0.13200000000000001</c:v>
                      </c:pt>
                      <c:pt idx="2">
                        <c:v>0.12</c:v>
                      </c:pt>
                      <c:pt idx="3">
                        <c:v>6.7000000000000004E-2</c:v>
                      </c:pt>
                      <c:pt idx="4">
                        <c:v>0.16300000000000001</c:v>
                      </c:pt>
                      <c:pt idx="5">
                        <c:v>8.2000000000000003E-2</c:v>
                      </c:pt>
                      <c:pt idx="6">
                        <c:v>5.8999999999999997E-2</c:v>
                      </c:pt>
                      <c:pt idx="7">
                        <c:v>8.6999999999999994E-2</c:v>
                      </c:pt>
                      <c:pt idx="8">
                        <c:v>0.1</c:v>
                      </c:pt>
                      <c:pt idx="9">
                        <c:v>8.8999999999999996E-2</c:v>
                      </c:pt>
                      <c:pt idx="10">
                        <c:v>0.06</c:v>
                      </c:pt>
                      <c:pt idx="11">
                        <c:v>0.114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2D53-4DF0-B157-E2A2A221E8E5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Daten!$K$1</c15:sqref>
                        </c15:formulaRef>
                      </c:ext>
                    </c:extLst>
                    <c:strCache>
                      <c:ptCount val="1"/>
                      <c:pt idx="0">
                        <c:v>Recall      (Unwirksam)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Daten!$K$2:$K$13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0.64200000000000002</c:v>
                      </c:pt>
                      <c:pt idx="1">
                        <c:v>0.63500000000000001</c:v>
                      </c:pt>
                      <c:pt idx="2">
                        <c:v>0.52600000000000002</c:v>
                      </c:pt>
                      <c:pt idx="3">
                        <c:v>0.39</c:v>
                      </c:pt>
                      <c:pt idx="4">
                        <c:v>0.36799999999999999</c:v>
                      </c:pt>
                      <c:pt idx="5">
                        <c:v>0.54</c:v>
                      </c:pt>
                      <c:pt idx="6">
                        <c:v>0.748</c:v>
                      </c:pt>
                      <c:pt idx="7">
                        <c:v>0.60299999999999998</c:v>
                      </c:pt>
                      <c:pt idx="8">
                        <c:v>0.47799999999999998</c:v>
                      </c:pt>
                      <c:pt idx="9">
                        <c:v>0.56200000000000006</c:v>
                      </c:pt>
                      <c:pt idx="10">
                        <c:v>0.94099999999999995</c:v>
                      </c:pt>
                      <c:pt idx="11">
                        <c:v>0.34300000000000003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2D53-4DF0-B157-E2A2A221E8E5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Daten!$L$1</c15:sqref>
                        </c15:formulaRef>
                      </c:ext>
                    </c:extLst>
                    <c:strCache>
                      <c:ptCount val="1"/>
                      <c:pt idx="0">
                        <c:v>F1      (Unwirksam)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Daten!$L$2:$L$13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0.186</c:v>
                      </c:pt>
                      <c:pt idx="1">
                        <c:v>0.219</c:v>
                      </c:pt>
                      <c:pt idx="2">
                        <c:v>0.19500000000000001</c:v>
                      </c:pt>
                      <c:pt idx="3">
                        <c:v>0.115</c:v>
                      </c:pt>
                      <c:pt idx="4">
                        <c:v>0.22600000000000001</c:v>
                      </c:pt>
                      <c:pt idx="5">
                        <c:v>0.14199999999999999</c:v>
                      </c:pt>
                      <c:pt idx="6">
                        <c:v>0.11</c:v>
                      </c:pt>
                      <c:pt idx="7">
                        <c:v>0.152</c:v>
                      </c:pt>
                      <c:pt idx="8">
                        <c:v>0.16500000000000001</c:v>
                      </c:pt>
                      <c:pt idx="9">
                        <c:v>0.154</c:v>
                      </c:pt>
                      <c:pt idx="10">
                        <c:v>0.113</c:v>
                      </c:pt>
                      <c:pt idx="11">
                        <c:v>0.17199999999999999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2D53-4DF0-B157-E2A2A221E8E5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Daten!$M$1</c15:sqref>
                        </c15:formulaRef>
                      </c:ext>
                    </c:extLst>
                    <c:strCache>
                      <c:ptCount val="1"/>
                      <c:pt idx="0">
                        <c:v>Precision      (Wirksam)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Daten!$M$2:$M$13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0.97799999999999998</c:v>
                      </c:pt>
                      <c:pt idx="1">
                        <c:v>0.97899999999999998</c:v>
                      </c:pt>
                      <c:pt idx="2">
                        <c:v>0.97299999999999998</c:v>
                      </c:pt>
                      <c:pt idx="3">
                        <c:v>0.96299999999999997</c:v>
                      </c:pt>
                      <c:pt idx="4">
                        <c:v>0.96799999999999997</c:v>
                      </c:pt>
                      <c:pt idx="5">
                        <c:v>0.97</c:v>
                      </c:pt>
                      <c:pt idx="6">
                        <c:v>0.97299999999999998</c:v>
                      </c:pt>
                      <c:pt idx="7">
                        <c:v>0.97399999999999998</c:v>
                      </c:pt>
                      <c:pt idx="8">
                        <c:v>0.97</c:v>
                      </c:pt>
                      <c:pt idx="9">
                        <c:v>0.97199999999999998</c:v>
                      </c:pt>
                      <c:pt idx="10">
                        <c:v>0.99099999999999999</c:v>
                      </c:pt>
                      <c:pt idx="11">
                        <c:v>0.96499999999999997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2D53-4DF0-B157-E2A2A221E8E5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Daten!$N$1</c15:sqref>
                        </c15:formulaRef>
                      </c:ext>
                    </c:extLst>
                    <c:strCache>
                      <c:ptCount val="1"/>
                      <c:pt idx="0">
                        <c:v>Recall (Wirksam)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Daten!$N$2:$N$13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0.748</c:v>
                      </c:pt>
                      <c:pt idx="1">
                        <c:v>0.8</c:v>
                      </c:pt>
                      <c:pt idx="2">
                        <c:v>0.81499999999999995</c:v>
                      </c:pt>
                      <c:pt idx="3">
                        <c:v>0.74399999999999999</c:v>
                      </c:pt>
                      <c:pt idx="4">
                        <c:v>0.91</c:v>
                      </c:pt>
                      <c:pt idx="5">
                        <c:v>0.71</c:v>
                      </c:pt>
                      <c:pt idx="6">
                        <c:v>0.435</c:v>
                      </c:pt>
                      <c:pt idx="7">
                        <c:v>0.69699999999999995</c:v>
                      </c:pt>
                      <c:pt idx="8">
                        <c:v>0.79400000000000004</c:v>
                      </c:pt>
                      <c:pt idx="9">
                        <c:v>0.72599999999999998</c:v>
                      </c:pt>
                      <c:pt idx="10">
                        <c:v>0.3</c:v>
                      </c:pt>
                      <c:pt idx="11">
                        <c:v>0.873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2D53-4DF0-B157-E2A2A221E8E5}"/>
                  </c:ext>
                </c:extLst>
              </c15:ser>
            </c15:filteredBarSeries>
            <c15:filteredB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Daten!$P$1</c15:sqref>
                        </c15:formulaRef>
                      </c:ext>
                    </c:extLst>
                    <c:strCache>
                      <c:ptCount val="1"/>
                      <c:pt idx="0">
                        <c:v>F1           (macro)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Daten!$P$2:$P$13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0.51700000000000002</c:v>
                      </c:pt>
                      <c:pt idx="1">
                        <c:v>0.55000000000000004</c:v>
                      </c:pt>
                      <c:pt idx="2">
                        <c:v>0.54100000000000004</c:v>
                      </c:pt>
                      <c:pt idx="3">
                        <c:v>0.47699999999999998</c:v>
                      </c:pt>
                      <c:pt idx="4">
                        <c:v>0.58199999999999996</c:v>
                      </c:pt>
                      <c:pt idx="5">
                        <c:v>0.48099999999999998</c:v>
                      </c:pt>
                      <c:pt idx="6">
                        <c:v>0.35499999999999998</c:v>
                      </c:pt>
                      <c:pt idx="7">
                        <c:v>0.48199999999999998</c:v>
                      </c:pt>
                      <c:pt idx="8">
                        <c:v>0.51900000000000002</c:v>
                      </c:pt>
                      <c:pt idx="9">
                        <c:v>0.49299999999999999</c:v>
                      </c:pt>
                      <c:pt idx="10">
                        <c:v>0.28699999999999998</c:v>
                      </c:pt>
                      <c:pt idx="11">
                        <c:v>0.54400000000000004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2D53-4DF0-B157-E2A2A221E8E5}"/>
                  </c:ext>
                </c:extLst>
              </c15:ser>
            </c15:filteredBarSeries>
            <c15:filteredBa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Daten!$Q$1</c15:sqref>
                        </c15:formulaRef>
                      </c:ext>
                    </c:extLst>
                    <c:strCache>
                      <c:ptCount val="1"/>
                      <c:pt idx="0">
                        <c:v>F1                 (weighted)</c:v>
                      </c:pt>
                    </c:strCache>
                  </c:strRef>
                </c:tx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Daten!$Q$2:$Q$13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0.81699999999999995</c:v>
                      </c:pt>
                      <c:pt idx="1">
                        <c:v>0.85</c:v>
                      </c:pt>
                      <c:pt idx="2">
                        <c:v>0.85499999999999998</c:v>
                      </c:pt>
                      <c:pt idx="3">
                        <c:v>0.80600000000000005</c:v>
                      </c:pt>
                      <c:pt idx="4">
                        <c:v>0.90600000000000003</c:v>
                      </c:pt>
                      <c:pt idx="5">
                        <c:v>0.78900000000000003</c:v>
                      </c:pt>
                      <c:pt idx="6">
                        <c:v>0.57899999999999996</c:v>
                      </c:pt>
                      <c:pt idx="7">
                        <c:v>0.78200000000000003</c:v>
                      </c:pt>
                      <c:pt idx="8">
                        <c:v>0.84099999999999997</c:v>
                      </c:pt>
                      <c:pt idx="9">
                        <c:v>0.8</c:v>
                      </c:pt>
                      <c:pt idx="10">
                        <c:v>0.44400000000000001</c:v>
                      </c:pt>
                      <c:pt idx="11">
                        <c:v>0.88300000000000001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2D53-4DF0-B157-E2A2A221E8E5}"/>
                  </c:ext>
                </c:extLst>
              </c15:ser>
            </c15:filteredBarSeries>
          </c:ext>
        </c:extLst>
      </c:barChart>
      <c:catAx>
        <c:axId val="110115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01152736"/>
        <c:crosses val="autoZero"/>
        <c:auto val="1"/>
        <c:lblAlgn val="ctr"/>
        <c:lblOffset val="100"/>
        <c:noMultiLvlLbl val="0"/>
      </c:catAx>
      <c:valAx>
        <c:axId val="110115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01157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F1 macro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14"/>
          <c:order val="14"/>
          <c:tx>
            <c:strRef>
              <c:f>Daten!$P$1</c:f>
              <c:strCache>
                <c:ptCount val="1"/>
                <c:pt idx="0">
                  <c:v>F1           (macro)</c:v>
                </c:pt>
              </c:strCache>
              <c:extLst xmlns:c15="http://schemas.microsoft.com/office/drawing/2012/chart"/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Daten!$A$2:$A$13</c:f>
              <c:strCache>
                <c:ptCount val="12"/>
                <c:pt idx="0">
                  <c:v>Grok-3</c:v>
                </c:pt>
                <c:pt idx="1">
                  <c:v>GPT5</c:v>
                </c:pt>
                <c:pt idx="2">
                  <c:v>GPT4</c:v>
                </c:pt>
                <c:pt idx="3">
                  <c:v>OSS120B</c:v>
                </c:pt>
                <c:pt idx="4">
                  <c:v>GPT o4-mini</c:v>
                </c:pt>
                <c:pt idx="5">
                  <c:v>DeepseekR1</c:v>
                </c:pt>
                <c:pt idx="6">
                  <c:v>OSS20B</c:v>
                </c:pt>
                <c:pt idx="7">
                  <c:v>Gemma27B</c:v>
                </c:pt>
                <c:pt idx="8">
                  <c:v>Mistral8B</c:v>
                </c:pt>
                <c:pt idx="9">
                  <c:v>LLama38B</c:v>
                </c:pt>
                <c:pt idx="10">
                  <c:v>Llama3DiscoLeo8B</c:v>
                </c:pt>
                <c:pt idx="11">
                  <c:v>GeminiFlashLite2.5</c:v>
                </c:pt>
              </c:strCache>
              <c:extLst xmlns:c15="http://schemas.microsoft.com/office/drawing/2012/chart"/>
            </c:strRef>
          </c:cat>
          <c:val>
            <c:numRef>
              <c:f>Daten!$P$2:$P$13</c:f>
              <c:numCache>
                <c:formatCode>General</c:formatCode>
                <c:ptCount val="12"/>
                <c:pt idx="0">
                  <c:v>0.51700000000000002</c:v>
                </c:pt>
                <c:pt idx="1">
                  <c:v>0.55000000000000004</c:v>
                </c:pt>
                <c:pt idx="2">
                  <c:v>0.54100000000000004</c:v>
                </c:pt>
                <c:pt idx="3">
                  <c:v>0.47699999999999998</c:v>
                </c:pt>
                <c:pt idx="4">
                  <c:v>0.58199999999999996</c:v>
                </c:pt>
                <c:pt idx="5">
                  <c:v>0.48099999999999998</c:v>
                </c:pt>
                <c:pt idx="6">
                  <c:v>0.35499999999999998</c:v>
                </c:pt>
                <c:pt idx="7">
                  <c:v>0.48199999999999998</c:v>
                </c:pt>
                <c:pt idx="8">
                  <c:v>0.51900000000000002</c:v>
                </c:pt>
                <c:pt idx="9">
                  <c:v>0.49299999999999999</c:v>
                </c:pt>
                <c:pt idx="10">
                  <c:v>0.28699999999999998</c:v>
                </c:pt>
                <c:pt idx="11">
                  <c:v>0.54400000000000004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E-68B4-48A0-AF01-8A3438FE0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1157056"/>
        <c:axId val="110115273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Daten!$B$1</c15:sqref>
                        </c15:formulaRef>
                      </c:ext>
                    </c:extLst>
                    <c:strCache>
                      <c:ptCount val="1"/>
                      <c:pt idx="0">
                        <c:v>Gesamtanzahl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Daten!$B$2:$B$13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3004</c:v>
                      </c:pt>
                      <c:pt idx="1">
                        <c:v>3004</c:v>
                      </c:pt>
                      <c:pt idx="2">
                        <c:v>3004</c:v>
                      </c:pt>
                      <c:pt idx="3">
                        <c:v>3004</c:v>
                      </c:pt>
                      <c:pt idx="4">
                        <c:v>3004</c:v>
                      </c:pt>
                      <c:pt idx="5">
                        <c:v>3004</c:v>
                      </c:pt>
                      <c:pt idx="6">
                        <c:v>3004</c:v>
                      </c:pt>
                      <c:pt idx="7">
                        <c:v>3004</c:v>
                      </c:pt>
                      <c:pt idx="8">
                        <c:v>3004</c:v>
                      </c:pt>
                      <c:pt idx="9">
                        <c:v>3004</c:v>
                      </c:pt>
                      <c:pt idx="10">
                        <c:v>3004</c:v>
                      </c:pt>
                      <c:pt idx="11">
                        <c:v>3004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8B4-48A0-AF01-8A3438FE09F4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Daten!$C$1</c15:sqref>
                        </c15:formulaRef>
                      </c:ext>
                    </c:extLst>
                    <c:strCache>
                      <c:ptCount val="1"/>
                      <c:pt idx="0">
                        <c:v>Anzahl_Klassifikationen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Daten!$C$2:$C$13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2996</c:v>
                      </c:pt>
                      <c:pt idx="1">
                        <c:v>2990</c:v>
                      </c:pt>
                      <c:pt idx="2">
                        <c:v>2998</c:v>
                      </c:pt>
                      <c:pt idx="3">
                        <c:v>3002</c:v>
                      </c:pt>
                      <c:pt idx="4">
                        <c:v>2996</c:v>
                      </c:pt>
                      <c:pt idx="5">
                        <c:v>2998</c:v>
                      </c:pt>
                      <c:pt idx="6">
                        <c:v>2973</c:v>
                      </c:pt>
                      <c:pt idx="7">
                        <c:v>2989</c:v>
                      </c:pt>
                      <c:pt idx="8">
                        <c:v>2996</c:v>
                      </c:pt>
                      <c:pt idx="9">
                        <c:v>3002</c:v>
                      </c:pt>
                      <c:pt idx="10">
                        <c:v>2995</c:v>
                      </c:pt>
                      <c:pt idx="11">
                        <c:v>3000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8B4-48A0-AF01-8A3438FE09F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Daten!$D$1</c15:sqref>
                        </c15:formulaRef>
                      </c:ext>
                    </c:extLst>
                    <c:strCache>
                      <c:ptCount val="1"/>
                      <c:pt idx="0">
                        <c:v>Fehlende ('-'/NaN/leer)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Daten!$D$2:$D$13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</c:v>
                      </c:pt>
                      <c:pt idx="1">
                        <c:v>14</c:v>
                      </c:pt>
                      <c:pt idx="2">
                        <c:v>6</c:v>
                      </c:pt>
                      <c:pt idx="3">
                        <c:v>2</c:v>
                      </c:pt>
                      <c:pt idx="4">
                        <c:v>8</c:v>
                      </c:pt>
                      <c:pt idx="5">
                        <c:v>6</c:v>
                      </c:pt>
                      <c:pt idx="6">
                        <c:v>31</c:v>
                      </c:pt>
                      <c:pt idx="7">
                        <c:v>15</c:v>
                      </c:pt>
                      <c:pt idx="8">
                        <c:v>8</c:v>
                      </c:pt>
                      <c:pt idx="9">
                        <c:v>2</c:v>
                      </c:pt>
                      <c:pt idx="10">
                        <c:v>9</c:v>
                      </c:pt>
                      <c:pt idx="11">
                        <c:v>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8B4-48A0-AF01-8A3438FE09F4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Daten!$E$1</c15:sqref>
                        </c15:formulaRef>
                      </c:ext>
                    </c:extLst>
                    <c:strCache>
                      <c:ptCount val="1"/>
                      <c:pt idx="0">
                        <c:v>Accuracy (bereinigt)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Daten!$E$2:$E$13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0.74299999999999999</c:v>
                      </c:pt>
                      <c:pt idx="1">
                        <c:v>0.79300000000000004</c:v>
                      </c:pt>
                      <c:pt idx="2">
                        <c:v>0.80200000000000005</c:v>
                      </c:pt>
                      <c:pt idx="3">
                        <c:v>0.72799999999999998</c:v>
                      </c:pt>
                      <c:pt idx="4">
                        <c:v>0.88600000000000001</c:v>
                      </c:pt>
                      <c:pt idx="5">
                        <c:v>0.70199999999999996</c:v>
                      </c:pt>
                      <c:pt idx="6">
                        <c:v>0.44900000000000001</c:v>
                      </c:pt>
                      <c:pt idx="7">
                        <c:v>0.69299999999999995</c:v>
                      </c:pt>
                      <c:pt idx="8">
                        <c:v>0.78</c:v>
                      </c:pt>
                      <c:pt idx="9">
                        <c:v>0.71899999999999997</c:v>
                      </c:pt>
                      <c:pt idx="10">
                        <c:v>0.32900000000000001</c:v>
                      </c:pt>
                      <c:pt idx="11">
                        <c:v>0.84899999999999998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8B4-48A0-AF01-8A3438FE09F4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Daten!$F$1</c15:sqref>
                        </c15:formulaRef>
                      </c:ext>
                    </c:extLst>
                    <c:strCache>
                      <c:ptCount val="1"/>
                      <c:pt idx="0">
                        <c:v>TP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Daten!$F$2:$F$13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88</c:v>
                      </c:pt>
                      <c:pt idx="1">
                        <c:v>87</c:v>
                      </c:pt>
                      <c:pt idx="2">
                        <c:v>72</c:v>
                      </c:pt>
                      <c:pt idx="3">
                        <c:v>53</c:v>
                      </c:pt>
                      <c:pt idx="4">
                        <c:v>50</c:v>
                      </c:pt>
                      <c:pt idx="5">
                        <c:v>74</c:v>
                      </c:pt>
                      <c:pt idx="6">
                        <c:v>101</c:v>
                      </c:pt>
                      <c:pt idx="7">
                        <c:v>82</c:v>
                      </c:pt>
                      <c:pt idx="8">
                        <c:v>65</c:v>
                      </c:pt>
                      <c:pt idx="9">
                        <c:v>77</c:v>
                      </c:pt>
                      <c:pt idx="10">
                        <c:v>128</c:v>
                      </c:pt>
                      <c:pt idx="11">
                        <c:v>47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8B4-48A0-AF01-8A3438FE09F4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Daten!$G$1</c15:sqref>
                        </c15:formulaRef>
                      </c:ext>
                    </c:extLst>
                    <c:strCache>
                      <c:ptCount val="1"/>
                      <c:pt idx="0">
                        <c:v>FP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Daten!$G$2:$G$13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721</c:v>
                      </c:pt>
                      <c:pt idx="1">
                        <c:v>570</c:v>
                      </c:pt>
                      <c:pt idx="2">
                        <c:v>530</c:v>
                      </c:pt>
                      <c:pt idx="3">
                        <c:v>734</c:v>
                      </c:pt>
                      <c:pt idx="4">
                        <c:v>256</c:v>
                      </c:pt>
                      <c:pt idx="5">
                        <c:v>830</c:v>
                      </c:pt>
                      <c:pt idx="6">
                        <c:v>1604</c:v>
                      </c:pt>
                      <c:pt idx="7">
                        <c:v>864</c:v>
                      </c:pt>
                      <c:pt idx="8">
                        <c:v>588</c:v>
                      </c:pt>
                      <c:pt idx="9">
                        <c:v>785</c:v>
                      </c:pt>
                      <c:pt idx="10">
                        <c:v>2002</c:v>
                      </c:pt>
                      <c:pt idx="11">
                        <c:v>364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8B4-48A0-AF01-8A3438FE09F4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Daten!$H$1</c15:sqref>
                        </c15:formulaRef>
                      </c:ext>
                    </c:extLst>
                    <c:strCache>
                      <c:ptCount val="1"/>
                      <c:pt idx="0">
                        <c:v>FN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Daten!$H$2:$H$13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49</c:v>
                      </c:pt>
                      <c:pt idx="1">
                        <c:v>50</c:v>
                      </c:pt>
                      <c:pt idx="2">
                        <c:v>65</c:v>
                      </c:pt>
                      <c:pt idx="3">
                        <c:v>83</c:v>
                      </c:pt>
                      <c:pt idx="4">
                        <c:v>86</c:v>
                      </c:pt>
                      <c:pt idx="5">
                        <c:v>63</c:v>
                      </c:pt>
                      <c:pt idx="6">
                        <c:v>34</c:v>
                      </c:pt>
                      <c:pt idx="7">
                        <c:v>54</c:v>
                      </c:pt>
                      <c:pt idx="8">
                        <c:v>71</c:v>
                      </c:pt>
                      <c:pt idx="9">
                        <c:v>60</c:v>
                      </c:pt>
                      <c:pt idx="10">
                        <c:v>8</c:v>
                      </c:pt>
                      <c:pt idx="11">
                        <c:v>90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8B4-48A0-AF01-8A3438FE09F4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Daten!$I$1</c15:sqref>
                        </c15:formulaRef>
                      </c:ext>
                    </c:extLst>
                    <c:strCache>
                      <c:ptCount val="1"/>
                      <c:pt idx="0">
                        <c:v>TN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Daten!$I$2:$I$13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2138</c:v>
                      </c:pt>
                      <c:pt idx="1">
                        <c:v>2283</c:v>
                      </c:pt>
                      <c:pt idx="2">
                        <c:v>2331</c:v>
                      </c:pt>
                      <c:pt idx="3">
                        <c:v>2132</c:v>
                      </c:pt>
                      <c:pt idx="4">
                        <c:v>2604</c:v>
                      </c:pt>
                      <c:pt idx="5">
                        <c:v>2031</c:v>
                      </c:pt>
                      <c:pt idx="6">
                        <c:v>1234</c:v>
                      </c:pt>
                      <c:pt idx="7">
                        <c:v>1989</c:v>
                      </c:pt>
                      <c:pt idx="8">
                        <c:v>2272</c:v>
                      </c:pt>
                      <c:pt idx="9">
                        <c:v>2080</c:v>
                      </c:pt>
                      <c:pt idx="10">
                        <c:v>857</c:v>
                      </c:pt>
                      <c:pt idx="11">
                        <c:v>2499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68B4-48A0-AF01-8A3438FE09F4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Daten!$J$1</c15:sqref>
                        </c15:formulaRef>
                      </c:ext>
                    </c:extLst>
                    <c:strCache>
                      <c:ptCount val="1"/>
                      <c:pt idx="0">
                        <c:v>Precision      (Unwirksam)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Daten!$J$2:$J$13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0.109</c:v>
                      </c:pt>
                      <c:pt idx="1">
                        <c:v>0.13200000000000001</c:v>
                      </c:pt>
                      <c:pt idx="2">
                        <c:v>0.12</c:v>
                      </c:pt>
                      <c:pt idx="3">
                        <c:v>6.7000000000000004E-2</c:v>
                      </c:pt>
                      <c:pt idx="4">
                        <c:v>0.16300000000000001</c:v>
                      </c:pt>
                      <c:pt idx="5">
                        <c:v>8.2000000000000003E-2</c:v>
                      </c:pt>
                      <c:pt idx="6">
                        <c:v>5.8999999999999997E-2</c:v>
                      </c:pt>
                      <c:pt idx="7">
                        <c:v>8.6999999999999994E-2</c:v>
                      </c:pt>
                      <c:pt idx="8">
                        <c:v>0.1</c:v>
                      </c:pt>
                      <c:pt idx="9">
                        <c:v>8.8999999999999996E-2</c:v>
                      </c:pt>
                      <c:pt idx="10">
                        <c:v>0.06</c:v>
                      </c:pt>
                      <c:pt idx="11">
                        <c:v>0.114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68B4-48A0-AF01-8A3438FE09F4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Daten!$K$1</c15:sqref>
                        </c15:formulaRef>
                      </c:ext>
                    </c:extLst>
                    <c:strCache>
                      <c:ptCount val="1"/>
                      <c:pt idx="0">
                        <c:v>Recall      (Unwirksam)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Daten!$K$2:$K$13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0.64200000000000002</c:v>
                      </c:pt>
                      <c:pt idx="1">
                        <c:v>0.63500000000000001</c:v>
                      </c:pt>
                      <c:pt idx="2">
                        <c:v>0.52600000000000002</c:v>
                      </c:pt>
                      <c:pt idx="3">
                        <c:v>0.39</c:v>
                      </c:pt>
                      <c:pt idx="4">
                        <c:v>0.36799999999999999</c:v>
                      </c:pt>
                      <c:pt idx="5">
                        <c:v>0.54</c:v>
                      </c:pt>
                      <c:pt idx="6">
                        <c:v>0.748</c:v>
                      </c:pt>
                      <c:pt idx="7">
                        <c:v>0.60299999999999998</c:v>
                      </c:pt>
                      <c:pt idx="8">
                        <c:v>0.47799999999999998</c:v>
                      </c:pt>
                      <c:pt idx="9">
                        <c:v>0.56200000000000006</c:v>
                      </c:pt>
                      <c:pt idx="10">
                        <c:v>0.94099999999999995</c:v>
                      </c:pt>
                      <c:pt idx="11">
                        <c:v>0.34300000000000003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68B4-48A0-AF01-8A3438FE09F4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Daten!$L$1</c15:sqref>
                        </c15:formulaRef>
                      </c:ext>
                    </c:extLst>
                    <c:strCache>
                      <c:ptCount val="1"/>
                      <c:pt idx="0">
                        <c:v>F1      (Unwirksam)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Daten!$L$2:$L$13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0.186</c:v>
                      </c:pt>
                      <c:pt idx="1">
                        <c:v>0.219</c:v>
                      </c:pt>
                      <c:pt idx="2">
                        <c:v>0.19500000000000001</c:v>
                      </c:pt>
                      <c:pt idx="3">
                        <c:v>0.115</c:v>
                      </c:pt>
                      <c:pt idx="4">
                        <c:v>0.22600000000000001</c:v>
                      </c:pt>
                      <c:pt idx="5">
                        <c:v>0.14199999999999999</c:v>
                      </c:pt>
                      <c:pt idx="6">
                        <c:v>0.11</c:v>
                      </c:pt>
                      <c:pt idx="7">
                        <c:v>0.152</c:v>
                      </c:pt>
                      <c:pt idx="8">
                        <c:v>0.16500000000000001</c:v>
                      </c:pt>
                      <c:pt idx="9">
                        <c:v>0.154</c:v>
                      </c:pt>
                      <c:pt idx="10">
                        <c:v>0.113</c:v>
                      </c:pt>
                      <c:pt idx="11">
                        <c:v>0.17199999999999999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68B4-48A0-AF01-8A3438FE09F4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Daten!$M$1</c15:sqref>
                        </c15:formulaRef>
                      </c:ext>
                    </c:extLst>
                    <c:strCache>
                      <c:ptCount val="1"/>
                      <c:pt idx="0">
                        <c:v>Precision      (Wirksam)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Daten!$M$2:$M$13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0.97799999999999998</c:v>
                      </c:pt>
                      <c:pt idx="1">
                        <c:v>0.97899999999999998</c:v>
                      </c:pt>
                      <c:pt idx="2">
                        <c:v>0.97299999999999998</c:v>
                      </c:pt>
                      <c:pt idx="3">
                        <c:v>0.96299999999999997</c:v>
                      </c:pt>
                      <c:pt idx="4">
                        <c:v>0.96799999999999997</c:v>
                      </c:pt>
                      <c:pt idx="5">
                        <c:v>0.97</c:v>
                      </c:pt>
                      <c:pt idx="6">
                        <c:v>0.97299999999999998</c:v>
                      </c:pt>
                      <c:pt idx="7">
                        <c:v>0.97399999999999998</c:v>
                      </c:pt>
                      <c:pt idx="8">
                        <c:v>0.97</c:v>
                      </c:pt>
                      <c:pt idx="9">
                        <c:v>0.97199999999999998</c:v>
                      </c:pt>
                      <c:pt idx="10">
                        <c:v>0.99099999999999999</c:v>
                      </c:pt>
                      <c:pt idx="11">
                        <c:v>0.96499999999999997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68B4-48A0-AF01-8A3438FE09F4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Daten!$N$1</c15:sqref>
                        </c15:formulaRef>
                      </c:ext>
                    </c:extLst>
                    <c:strCache>
                      <c:ptCount val="1"/>
                      <c:pt idx="0">
                        <c:v>Recall (Wirksam)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Daten!$N$2:$N$13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0.748</c:v>
                      </c:pt>
                      <c:pt idx="1">
                        <c:v>0.8</c:v>
                      </c:pt>
                      <c:pt idx="2">
                        <c:v>0.81499999999999995</c:v>
                      </c:pt>
                      <c:pt idx="3">
                        <c:v>0.74399999999999999</c:v>
                      </c:pt>
                      <c:pt idx="4">
                        <c:v>0.91</c:v>
                      </c:pt>
                      <c:pt idx="5">
                        <c:v>0.71</c:v>
                      </c:pt>
                      <c:pt idx="6">
                        <c:v>0.435</c:v>
                      </c:pt>
                      <c:pt idx="7">
                        <c:v>0.69699999999999995</c:v>
                      </c:pt>
                      <c:pt idx="8">
                        <c:v>0.79400000000000004</c:v>
                      </c:pt>
                      <c:pt idx="9">
                        <c:v>0.72599999999999998</c:v>
                      </c:pt>
                      <c:pt idx="10">
                        <c:v>0.3</c:v>
                      </c:pt>
                      <c:pt idx="11">
                        <c:v>0.873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68B4-48A0-AF01-8A3438FE09F4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Daten!$O$1</c15:sqref>
                        </c15:formulaRef>
                      </c:ext>
                    </c:extLst>
                    <c:strCache>
                      <c:ptCount val="1"/>
                      <c:pt idx="0">
                        <c:v>F1                           (Wirksam)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Daten!$O$2:$O$13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0.84699999999999998</c:v>
                      </c:pt>
                      <c:pt idx="1">
                        <c:v>0.88</c:v>
                      </c:pt>
                      <c:pt idx="2">
                        <c:v>0.88700000000000001</c:v>
                      </c:pt>
                      <c:pt idx="3">
                        <c:v>0.83899999999999997</c:v>
                      </c:pt>
                      <c:pt idx="4">
                        <c:v>0.93799999999999994</c:v>
                      </c:pt>
                      <c:pt idx="5">
                        <c:v>0.82</c:v>
                      </c:pt>
                      <c:pt idx="6">
                        <c:v>0.60099999999999998</c:v>
                      </c:pt>
                      <c:pt idx="7">
                        <c:v>0.81200000000000006</c:v>
                      </c:pt>
                      <c:pt idx="8">
                        <c:v>0.873</c:v>
                      </c:pt>
                      <c:pt idx="9">
                        <c:v>0.83099999999999996</c:v>
                      </c:pt>
                      <c:pt idx="10">
                        <c:v>0.46</c:v>
                      </c:pt>
                      <c:pt idx="11">
                        <c:v>0.91700000000000004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68B4-48A0-AF01-8A3438FE09F4}"/>
                  </c:ext>
                </c:extLst>
              </c15:ser>
            </c15:filteredBarSeries>
            <c15:filteredBa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Daten!$Q$1</c15:sqref>
                        </c15:formulaRef>
                      </c:ext>
                    </c:extLst>
                    <c:strCache>
                      <c:ptCount val="1"/>
                      <c:pt idx="0">
                        <c:v>F1                 (weighted)</c:v>
                      </c:pt>
                    </c:strCache>
                  </c:strRef>
                </c:tx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Daten!$Q$2:$Q$13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0.81699999999999995</c:v>
                      </c:pt>
                      <c:pt idx="1">
                        <c:v>0.85</c:v>
                      </c:pt>
                      <c:pt idx="2">
                        <c:v>0.85499999999999998</c:v>
                      </c:pt>
                      <c:pt idx="3">
                        <c:v>0.80600000000000005</c:v>
                      </c:pt>
                      <c:pt idx="4">
                        <c:v>0.90600000000000003</c:v>
                      </c:pt>
                      <c:pt idx="5">
                        <c:v>0.78900000000000003</c:v>
                      </c:pt>
                      <c:pt idx="6">
                        <c:v>0.57899999999999996</c:v>
                      </c:pt>
                      <c:pt idx="7">
                        <c:v>0.78200000000000003</c:v>
                      </c:pt>
                      <c:pt idx="8">
                        <c:v>0.84099999999999997</c:v>
                      </c:pt>
                      <c:pt idx="9">
                        <c:v>0.8</c:v>
                      </c:pt>
                      <c:pt idx="10">
                        <c:v>0.44400000000000001</c:v>
                      </c:pt>
                      <c:pt idx="11">
                        <c:v>0.88300000000000001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68B4-48A0-AF01-8A3438FE09F4}"/>
                  </c:ext>
                </c:extLst>
              </c15:ser>
            </c15:filteredBarSeries>
          </c:ext>
        </c:extLst>
      </c:barChart>
      <c:catAx>
        <c:axId val="110115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01152736"/>
        <c:crosses val="autoZero"/>
        <c:auto val="1"/>
        <c:lblAlgn val="ctr"/>
        <c:lblOffset val="100"/>
        <c:noMultiLvlLbl val="0"/>
      </c:catAx>
      <c:valAx>
        <c:axId val="110115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01157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F1 weightend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15"/>
          <c:order val="15"/>
          <c:tx>
            <c:strRef>
              <c:f>Daten!$Q$1</c:f>
              <c:strCache>
                <c:ptCount val="1"/>
                <c:pt idx="0">
                  <c:v>F1                 (weighted)</c:v>
                </c:pt>
              </c:strCache>
              <c:extLst xmlns:c15="http://schemas.microsoft.com/office/drawing/2012/chart"/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Daten!$A$2:$A$13</c:f>
              <c:strCache>
                <c:ptCount val="12"/>
                <c:pt idx="0">
                  <c:v>Grok-3</c:v>
                </c:pt>
                <c:pt idx="1">
                  <c:v>GPT5</c:v>
                </c:pt>
                <c:pt idx="2">
                  <c:v>GPT4</c:v>
                </c:pt>
                <c:pt idx="3">
                  <c:v>OSS120B</c:v>
                </c:pt>
                <c:pt idx="4">
                  <c:v>GPT o4-mini</c:v>
                </c:pt>
                <c:pt idx="5">
                  <c:v>DeepseekR1</c:v>
                </c:pt>
                <c:pt idx="6">
                  <c:v>OSS20B</c:v>
                </c:pt>
                <c:pt idx="7">
                  <c:v>Gemma27B</c:v>
                </c:pt>
                <c:pt idx="8">
                  <c:v>Mistral8B</c:v>
                </c:pt>
                <c:pt idx="9">
                  <c:v>LLama38B</c:v>
                </c:pt>
                <c:pt idx="10">
                  <c:v>Llama3DiscoLeo8B</c:v>
                </c:pt>
                <c:pt idx="11">
                  <c:v>GeminiFlashLite2.5</c:v>
                </c:pt>
              </c:strCache>
              <c:extLst xmlns:c15="http://schemas.microsoft.com/office/drawing/2012/chart"/>
            </c:strRef>
          </c:cat>
          <c:val>
            <c:numRef>
              <c:f>Daten!$Q$2:$Q$13</c:f>
              <c:numCache>
                <c:formatCode>General</c:formatCode>
                <c:ptCount val="12"/>
                <c:pt idx="0">
                  <c:v>0.81699999999999995</c:v>
                </c:pt>
                <c:pt idx="1">
                  <c:v>0.85</c:v>
                </c:pt>
                <c:pt idx="2">
                  <c:v>0.85499999999999998</c:v>
                </c:pt>
                <c:pt idx="3">
                  <c:v>0.80600000000000005</c:v>
                </c:pt>
                <c:pt idx="4">
                  <c:v>0.90600000000000003</c:v>
                </c:pt>
                <c:pt idx="5">
                  <c:v>0.78900000000000003</c:v>
                </c:pt>
                <c:pt idx="6">
                  <c:v>0.57899999999999996</c:v>
                </c:pt>
                <c:pt idx="7">
                  <c:v>0.78200000000000003</c:v>
                </c:pt>
                <c:pt idx="8">
                  <c:v>0.84099999999999997</c:v>
                </c:pt>
                <c:pt idx="9">
                  <c:v>0.8</c:v>
                </c:pt>
                <c:pt idx="10">
                  <c:v>0.44400000000000001</c:v>
                </c:pt>
                <c:pt idx="11">
                  <c:v>0.88300000000000001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F-2F9A-4327-8E03-81D3EE259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1157056"/>
        <c:axId val="110115273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Daten!$B$1</c15:sqref>
                        </c15:formulaRef>
                      </c:ext>
                    </c:extLst>
                    <c:strCache>
                      <c:ptCount val="1"/>
                      <c:pt idx="0">
                        <c:v>Gesamtanzahl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Daten!$B$2:$B$13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3004</c:v>
                      </c:pt>
                      <c:pt idx="1">
                        <c:v>3004</c:v>
                      </c:pt>
                      <c:pt idx="2">
                        <c:v>3004</c:v>
                      </c:pt>
                      <c:pt idx="3">
                        <c:v>3004</c:v>
                      </c:pt>
                      <c:pt idx="4">
                        <c:v>3004</c:v>
                      </c:pt>
                      <c:pt idx="5">
                        <c:v>3004</c:v>
                      </c:pt>
                      <c:pt idx="6">
                        <c:v>3004</c:v>
                      </c:pt>
                      <c:pt idx="7">
                        <c:v>3004</c:v>
                      </c:pt>
                      <c:pt idx="8">
                        <c:v>3004</c:v>
                      </c:pt>
                      <c:pt idx="9">
                        <c:v>3004</c:v>
                      </c:pt>
                      <c:pt idx="10">
                        <c:v>3004</c:v>
                      </c:pt>
                      <c:pt idx="11">
                        <c:v>3004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2F9A-4327-8E03-81D3EE25998B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Daten!$C$1</c15:sqref>
                        </c15:formulaRef>
                      </c:ext>
                    </c:extLst>
                    <c:strCache>
                      <c:ptCount val="1"/>
                      <c:pt idx="0">
                        <c:v>Anzahl_Klassifikationen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Daten!$C$2:$C$13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2996</c:v>
                      </c:pt>
                      <c:pt idx="1">
                        <c:v>2990</c:v>
                      </c:pt>
                      <c:pt idx="2">
                        <c:v>2998</c:v>
                      </c:pt>
                      <c:pt idx="3">
                        <c:v>3002</c:v>
                      </c:pt>
                      <c:pt idx="4">
                        <c:v>2996</c:v>
                      </c:pt>
                      <c:pt idx="5">
                        <c:v>2998</c:v>
                      </c:pt>
                      <c:pt idx="6">
                        <c:v>2973</c:v>
                      </c:pt>
                      <c:pt idx="7">
                        <c:v>2989</c:v>
                      </c:pt>
                      <c:pt idx="8">
                        <c:v>2996</c:v>
                      </c:pt>
                      <c:pt idx="9">
                        <c:v>3002</c:v>
                      </c:pt>
                      <c:pt idx="10">
                        <c:v>2995</c:v>
                      </c:pt>
                      <c:pt idx="11">
                        <c:v>3000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F9A-4327-8E03-81D3EE25998B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Daten!$D$1</c15:sqref>
                        </c15:formulaRef>
                      </c:ext>
                    </c:extLst>
                    <c:strCache>
                      <c:ptCount val="1"/>
                      <c:pt idx="0">
                        <c:v>Fehlende ('-'/NaN/leer)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Daten!$D$2:$D$13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</c:v>
                      </c:pt>
                      <c:pt idx="1">
                        <c:v>14</c:v>
                      </c:pt>
                      <c:pt idx="2">
                        <c:v>6</c:v>
                      </c:pt>
                      <c:pt idx="3">
                        <c:v>2</c:v>
                      </c:pt>
                      <c:pt idx="4">
                        <c:v>8</c:v>
                      </c:pt>
                      <c:pt idx="5">
                        <c:v>6</c:v>
                      </c:pt>
                      <c:pt idx="6">
                        <c:v>31</c:v>
                      </c:pt>
                      <c:pt idx="7">
                        <c:v>15</c:v>
                      </c:pt>
                      <c:pt idx="8">
                        <c:v>8</c:v>
                      </c:pt>
                      <c:pt idx="9">
                        <c:v>2</c:v>
                      </c:pt>
                      <c:pt idx="10">
                        <c:v>9</c:v>
                      </c:pt>
                      <c:pt idx="11">
                        <c:v>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F9A-4327-8E03-81D3EE25998B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Daten!$E$1</c15:sqref>
                        </c15:formulaRef>
                      </c:ext>
                    </c:extLst>
                    <c:strCache>
                      <c:ptCount val="1"/>
                      <c:pt idx="0">
                        <c:v>Accuracy (bereinigt)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Daten!$E$2:$E$13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0.74299999999999999</c:v>
                      </c:pt>
                      <c:pt idx="1">
                        <c:v>0.79300000000000004</c:v>
                      </c:pt>
                      <c:pt idx="2">
                        <c:v>0.80200000000000005</c:v>
                      </c:pt>
                      <c:pt idx="3">
                        <c:v>0.72799999999999998</c:v>
                      </c:pt>
                      <c:pt idx="4">
                        <c:v>0.88600000000000001</c:v>
                      </c:pt>
                      <c:pt idx="5">
                        <c:v>0.70199999999999996</c:v>
                      </c:pt>
                      <c:pt idx="6">
                        <c:v>0.44900000000000001</c:v>
                      </c:pt>
                      <c:pt idx="7">
                        <c:v>0.69299999999999995</c:v>
                      </c:pt>
                      <c:pt idx="8">
                        <c:v>0.78</c:v>
                      </c:pt>
                      <c:pt idx="9">
                        <c:v>0.71899999999999997</c:v>
                      </c:pt>
                      <c:pt idx="10">
                        <c:v>0.32900000000000001</c:v>
                      </c:pt>
                      <c:pt idx="11">
                        <c:v>0.84899999999999998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F9A-4327-8E03-81D3EE25998B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Daten!$F$1</c15:sqref>
                        </c15:formulaRef>
                      </c:ext>
                    </c:extLst>
                    <c:strCache>
                      <c:ptCount val="1"/>
                      <c:pt idx="0">
                        <c:v>TP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Daten!$F$2:$F$13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88</c:v>
                      </c:pt>
                      <c:pt idx="1">
                        <c:v>87</c:v>
                      </c:pt>
                      <c:pt idx="2">
                        <c:v>72</c:v>
                      </c:pt>
                      <c:pt idx="3">
                        <c:v>53</c:v>
                      </c:pt>
                      <c:pt idx="4">
                        <c:v>50</c:v>
                      </c:pt>
                      <c:pt idx="5">
                        <c:v>74</c:v>
                      </c:pt>
                      <c:pt idx="6">
                        <c:v>101</c:v>
                      </c:pt>
                      <c:pt idx="7">
                        <c:v>82</c:v>
                      </c:pt>
                      <c:pt idx="8">
                        <c:v>65</c:v>
                      </c:pt>
                      <c:pt idx="9">
                        <c:v>77</c:v>
                      </c:pt>
                      <c:pt idx="10">
                        <c:v>128</c:v>
                      </c:pt>
                      <c:pt idx="11">
                        <c:v>47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F9A-4327-8E03-81D3EE25998B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Daten!$G$1</c15:sqref>
                        </c15:formulaRef>
                      </c:ext>
                    </c:extLst>
                    <c:strCache>
                      <c:ptCount val="1"/>
                      <c:pt idx="0">
                        <c:v>FP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Daten!$G$2:$G$13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721</c:v>
                      </c:pt>
                      <c:pt idx="1">
                        <c:v>570</c:v>
                      </c:pt>
                      <c:pt idx="2">
                        <c:v>530</c:v>
                      </c:pt>
                      <c:pt idx="3">
                        <c:v>734</c:v>
                      </c:pt>
                      <c:pt idx="4">
                        <c:v>256</c:v>
                      </c:pt>
                      <c:pt idx="5">
                        <c:v>830</c:v>
                      </c:pt>
                      <c:pt idx="6">
                        <c:v>1604</c:v>
                      </c:pt>
                      <c:pt idx="7">
                        <c:v>864</c:v>
                      </c:pt>
                      <c:pt idx="8">
                        <c:v>588</c:v>
                      </c:pt>
                      <c:pt idx="9">
                        <c:v>785</c:v>
                      </c:pt>
                      <c:pt idx="10">
                        <c:v>2002</c:v>
                      </c:pt>
                      <c:pt idx="11">
                        <c:v>364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F9A-4327-8E03-81D3EE25998B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Daten!$H$1</c15:sqref>
                        </c15:formulaRef>
                      </c:ext>
                    </c:extLst>
                    <c:strCache>
                      <c:ptCount val="1"/>
                      <c:pt idx="0">
                        <c:v>FN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Daten!$H$2:$H$13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49</c:v>
                      </c:pt>
                      <c:pt idx="1">
                        <c:v>50</c:v>
                      </c:pt>
                      <c:pt idx="2">
                        <c:v>65</c:v>
                      </c:pt>
                      <c:pt idx="3">
                        <c:v>83</c:v>
                      </c:pt>
                      <c:pt idx="4">
                        <c:v>86</c:v>
                      </c:pt>
                      <c:pt idx="5">
                        <c:v>63</c:v>
                      </c:pt>
                      <c:pt idx="6">
                        <c:v>34</c:v>
                      </c:pt>
                      <c:pt idx="7">
                        <c:v>54</c:v>
                      </c:pt>
                      <c:pt idx="8">
                        <c:v>71</c:v>
                      </c:pt>
                      <c:pt idx="9">
                        <c:v>60</c:v>
                      </c:pt>
                      <c:pt idx="10">
                        <c:v>8</c:v>
                      </c:pt>
                      <c:pt idx="11">
                        <c:v>90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F9A-4327-8E03-81D3EE25998B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Daten!$I$1</c15:sqref>
                        </c15:formulaRef>
                      </c:ext>
                    </c:extLst>
                    <c:strCache>
                      <c:ptCount val="1"/>
                      <c:pt idx="0">
                        <c:v>TN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Daten!$I$2:$I$13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2138</c:v>
                      </c:pt>
                      <c:pt idx="1">
                        <c:v>2283</c:v>
                      </c:pt>
                      <c:pt idx="2">
                        <c:v>2331</c:v>
                      </c:pt>
                      <c:pt idx="3">
                        <c:v>2132</c:v>
                      </c:pt>
                      <c:pt idx="4">
                        <c:v>2604</c:v>
                      </c:pt>
                      <c:pt idx="5">
                        <c:v>2031</c:v>
                      </c:pt>
                      <c:pt idx="6">
                        <c:v>1234</c:v>
                      </c:pt>
                      <c:pt idx="7">
                        <c:v>1989</c:v>
                      </c:pt>
                      <c:pt idx="8">
                        <c:v>2272</c:v>
                      </c:pt>
                      <c:pt idx="9">
                        <c:v>2080</c:v>
                      </c:pt>
                      <c:pt idx="10">
                        <c:v>857</c:v>
                      </c:pt>
                      <c:pt idx="11">
                        <c:v>2499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2F9A-4327-8E03-81D3EE25998B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Daten!$J$1</c15:sqref>
                        </c15:formulaRef>
                      </c:ext>
                    </c:extLst>
                    <c:strCache>
                      <c:ptCount val="1"/>
                      <c:pt idx="0">
                        <c:v>Precision      (Unwirksam)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Daten!$J$2:$J$13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0.109</c:v>
                      </c:pt>
                      <c:pt idx="1">
                        <c:v>0.13200000000000001</c:v>
                      </c:pt>
                      <c:pt idx="2">
                        <c:v>0.12</c:v>
                      </c:pt>
                      <c:pt idx="3">
                        <c:v>6.7000000000000004E-2</c:v>
                      </c:pt>
                      <c:pt idx="4">
                        <c:v>0.16300000000000001</c:v>
                      </c:pt>
                      <c:pt idx="5">
                        <c:v>8.2000000000000003E-2</c:v>
                      </c:pt>
                      <c:pt idx="6">
                        <c:v>5.8999999999999997E-2</c:v>
                      </c:pt>
                      <c:pt idx="7">
                        <c:v>8.6999999999999994E-2</c:v>
                      </c:pt>
                      <c:pt idx="8">
                        <c:v>0.1</c:v>
                      </c:pt>
                      <c:pt idx="9">
                        <c:v>8.8999999999999996E-2</c:v>
                      </c:pt>
                      <c:pt idx="10">
                        <c:v>0.06</c:v>
                      </c:pt>
                      <c:pt idx="11">
                        <c:v>0.114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2F9A-4327-8E03-81D3EE25998B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Daten!$K$1</c15:sqref>
                        </c15:formulaRef>
                      </c:ext>
                    </c:extLst>
                    <c:strCache>
                      <c:ptCount val="1"/>
                      <c:pt idx="0">
                        <c:v>Recall      (Unwirksam)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Daten!$K$2:$K$13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0.64200000000000002</c:v>
                      </c:pt>
                      <c:pt idx="1">
                        <c:v>0.63500000000000001</c:v>
                      </c:pt>
                      <c:pt idx="2">
                        <c:v>0.52600000000000002</c:v>
                      </c:pt>
                      <c:pt idx="3">
                        <c:v>0.39</c:v>
                      </c:pt>
                      <c:pt idx="4">
                        <c:v>0.36799999999999999</c:v>
                      </c:pt>
                      <c:pt idx="5">
                        <c:v>0.54</c:v>
                      </c:pt>
                      <c:pt idx="6">
                        <c:v>0.748</c:v>
                      </c:pt>
                      <c:pt idx="7">
                        <c:v>0.60299999999999998</c:v>
                      </c:pt>
                      <c:pt idx="8">
                        <c:v>0.47799999999999998</c:v>
                      </c:pt>
                      <c:pt idx="9">
                        <c:v>0.56200000000000006</c:v>
                      </c:pt>
                      <c:pt idx="10">
                        <c:v>0.94099999999999995</c:v>
                      </c:pt>
                      <c:pt idx="11">
                        <c:v>0.34300000000000003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2F9A-4327-8E03-81D3EE25998B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Daten!$L$1</c15:sqref>
                        </c15:formulaRef>
                      </c:ext>
                    </c:extLst>
                    <c:strCache>
                      <c:ptCount val="1"/>
                      <c:pt idx="0">
                        <c:v>F1      (Unwirksam)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Daten!$L$2:$L$13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0.186</c:v>
                      </c:pt>
                      <c:pt idx="1">
                        <c:v>0.219</c:v>
                      </c:pt>
                      <c:pt idx="2">
                        <c:v>0.19500000000000001</c:v>
                      </c:pt>
                      <c:pt idx="3">
                        <c:v>0.115</c:v>
                      </c:pt>
                      <c:pt idx="4">
                        <c:v>0.22600000000000001</c:v>
                      </c:pt>
                      <c:pt idx="5">
                        <c:v>0.14199999999999999</c:v>
                      </c:pt>
                      <c:pt idx="6">
                        <c:v>0.11</c:v>
                      </c:pt>
                      <c:pt idx="7">
                        <c:v>0.152</c:v>
                      </c:pt>
                      <c:pt idx="8">
                        <c:v>0.16500000000000001</c:v>
                      </c:pt>
                      <c:pt idx="9">
                        <c:v>0.154</c:v>
                      </c:pt>
                      <c:pt idx="10">
                        <c:v>0.113</c:v>
                      </c:pt>
                      <c:pt idx="11">
                        <c:v>0.17199999999999999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2F9A-4327-8E03-81D3EE25998B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Daten!$M$1</c15:sqref>
                        </c15:formulaRef>
                      </c:ext>
                    </c:extLst>
                    <c:strCache>
                      <c:ptCount val="1"/>
                      <c:pt idx="0">
                        <c:v>Precision      (Wirksam)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Daten!$M$2:$M$13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0.97799999999999998</c:v>
                      </c:pt>
                      <c:pt idx="1">
                        <c:v>0.97899999999999998</c:v>
                      </c:pt>
                      <c:pt idx="2">
                        <c:v>0.97299999999999998</c:v>
                      </c:pt>
                      <c:pt idx="3">
                        <c:v>0.96299999999999997</c:v>
                      </c:pt>
                      <c:pt idx="4">
                        <c:v>0.96799999999999997</c:v>
                      </c:pt>
                      <c:pt idx="5">
                        <c:v>0.97</c:v>
                      </c:pt>
                      <c:pt idx="6">
                        <c:v>0.97299999999999998</c:v>
                      </c:pt>
                      <c:pt idx="7">
                        <c:v>0.97399999999999998</c:v>
                      </c:pt>
                      <c:pt idx="8">
                        <c:v>0.97</c:v>
                      </c:pt>
                      <c:pt idx="9">
                        <c:v>0.97199999999999998</c:v>
                      </c:pt>
                      <c:pt idx="10">
                        <c:v>0.99099999999999999</c:v>
                      </c:pt>
                      <c:pt idx="11">
                        <c:v>0.96499999999999997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2F9A-4327-8E03-81D3EE25998B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Daten!$N$1</c15:sqref>
                        </c15:formulaRef>
                      </c:ext>
                    </c:extLst>
                    <c:strCache>
                      <c:ptCount val="1"/>
                      <c:pt idx="0">
                        <c:v>Recall (Wirksam)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Daten!$N$2:$N$13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0.748</c:v>
                      </c:pt>
                      <c:pt idx="1">
                        <c:v>0.8</c:v>
                      </c:pt>
                      <c:pt idx="2">
                        <c:v>0.81499999999999995</c:v>
                      </c:pt>
                      <c:pt idx="3">
                        <c:v>0.74399999999999999</c:v>
                      </c:pt>
                      <c:pt idx="4">
                        <c:v>0.91</c:v>
                      </c:pt>
                      <c:pt idx="5">
                        <c:v>0.71</c:v>
                      </c:pt>
                      <c:pt idx="6">
                        <c:v>0.435</c:v>
                      </c:pt>
                      <c:pt idx="7">
                        <c:v>0.69699999999999995</c:v>
                      </c:pt>
                      <c:pt idx="8">
                        <c:v>0.79400000000000004</c:v>
                      </c:pt>
                      <c:pt idx="9">
                        <c:v>0.72599999999999998</c:v>
                      </c:pt>
                      <c:pt idx="10">
                        <c:v>0.3</c:v>
                      </c:pt>
                      <c:pt idx="11">
                        <c:v>0.873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2F9A-4327-8E03-81D3EE25998B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Daten!$O$1</c15:sqref>
                        </c15:formulaRef>
                      </c:ext>
                    </c:extLst>
                    <c:strCache>
                      <c:ptCount val="1"/>
                      <c:pt idx="0">
                        <c:v>F1                           (Wirksam)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Daten!$O$2:$O$13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0.84699999999999998</c:v>
                      </c:pt>
                      <c:pt idx="1">
                        <c:v>0.88</c:v>
                      </c:pt>
                      <c:pt idx="2">
                        <c:v>0.88700000000000001</c:v>
                      </c:pt>
                      <c:pt idx="3">
                        <c:v>0.83899999999999997</c:v>
                      </c:pt>
                      <c:pt idx="4">
                        <c:v>0.93799999999999994</c:v>
                      </c:pt>
                      <c:pt idx="5">
                        <c:v>0.82</c:v>
                      </c:pt>
                      <c:pt idx="6">
                        <c:v>0.60099999999999998</c:v>
                      </c:pt>
                      <c:pt idx="7">
                        <c:v>0.81200000000000006</c:v>
                      </c:pt>
                      <c:pt idx="8">
                        <c:v>0.873</c:v>
                      </c:pt>
                      <c:pt idx="9">
                        <c:v>0.83099999999999996</c:v>
                      </c:pt>
                      <c:pt idx="10">
                        <c:v>0.46</c:v>
                      </c:pt>
                      <c:pt idx="11">
                        <c:v>0.91700000000000004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2F9A-4327-8E03-81D3EE25998B}"/>
                  </c:ext>
                </c:extLst>
              </c15:ser>
            </c15:filteredBarSeries>
            <c15:filteredB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Daten!$P$1</c15:sqref>
                        </c15:formulaRef>
                      </c:ext>
                    </c:extLst>
                    <c:strCache>
                      <c:ptCount val="1"/>
                      <c:pt idx="0">
                        <c:v>F1           (macro)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Daten!$P$2:$P$13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0.51700000000000002</c:v>
                      </c:pt>
                      <c:pt idx="1">
                        <c:v>0.55000000000000004</c:v>
                      </c:pt>
                      <c:pt idx="2">
                        <c:v>0.54100000000000004</c:v>
                      </c:pt>
                      <c:pt idx="3">
                        <c:v>0.47699999999999998</c:v>
                      </c:pt>
                      <c:pt idx="4">
                        <c:v>0.58199999999999996</c:v>
                      </c:pt>
                      <c:pt idx="5">
                        <c:v>0.48099999999999998</c:v>
                      </c:pt>
                      <c:pt idx="6">
                        <c:v>0.35499999999999998</c:v>
                      </c:pt>
                      <c:pt idx="7">
                        <c:v>0.48199999999999998</c:v>
                      </c:pt>
                      <c:pt idx="8">
                        <c:v>0.51900000000000002</c:v>
                      </c:pt>
                      <c:pt idx="9">
                        <c:v>0.49299999999999999</c:v>
                      </c:pt>
                      <c:pt idx="10">
                        <c:v>0.28699999999999998</c:v>
                      </c:pt>
                      <c:pt idx="11">
                        <c:v>0.54400000000000004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2F9A-4327-8E03-81D3EE25998B}"/>
                  </c:ext>
                </c:extLst>
              </c15:ser>
            </c15:filteredBarSeries>
          </c:ext>
        </c:extLst>
      </c:barChart>
      <c:catAx>
        <c:axId val="110115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01152736"/>
        <c:crosses val="autoZero"/>
        <c:auto val="1"/>
        <c:lblAlgn val="ctr"/>
        <c:lblOffset val="100"/>
        <c:noMultiLvlLbl val="0"/>
      </c:catAx>
      <c:valAx>
        <c:axId val="110115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01157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Prec</a:t>
            </a:r>
            <a:r>
              <a:rPr lang="de-DE" baseline="0"/>
              <a:t> </a:t>
            </a:r>
            <a:r>
              <a:rPr lang="de-DE"/>
              <a:t>unwirksam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8"/>
          <c:order val="8"/>
          <c:tx>
            <c:strRef>
              <c:f>Daten!$J$1</c:f>
              <c:strCache>
                <c:ptCount val="1"/>
                <c:pt idx="0">
                  <c:v>Precision      (Unwirksam)</c:v>
                </c:pt>
              </c:strCache>
              <c:extLst xmlns:c15="http://schemas.microsoft.com/office/drawing/2012/chart"/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Daten!$A$2:$A$13</c:f>
              <c:strCache>
                <c:ptCount val="12"/>
                <c:pt idx="0">
                  <c:v>Grok-3</c:v>
                </c:pt>
                <c:pt idx="1">
                  <c:v>GPT5</c:v>
                </c:pt>
                <c:pt idx="2">
                  <c:v>GPT4</c:v>
                </c:pt>
                <c:pt idx="3">
                  <c:v>OSS120B</c:v>
                </c:pt>
                <c:pt idx="4">
                  <c:v>GPT o4-mini</c:v>
                </c:pt>
                <c:pt idx="5">
                  <c:v>DeepseekR1</c:v>
                </c:pt>
                <c:pt idx="6">
                  <c:v>OSS20B</c:v>
                </c:pt>
                <c:pt idx="7">
                  <c:v>Gemma27B</c:v>
                </c:pt>
                <c:pt idx="8">
                  <c:v>Mistral8B</c:v>
                </c:pt>
                <c:pt idx="9">
                  <c:v>LLama38B</c:v>
                </c:pt>
                <c:pt idx="10">
                  <c:v>Llama3DiscoLeo8B</c:v>
                </c:pt>
                <c:pt idx="11">
                  <c:v>GeminiFlashLite2.5</c:v>
                </c:pt>
              </c:strCache>
              <c:extLst xmlns:c15="http://schemas.microsoft.com/office/drawing/2012/chart"/>
            </c:strRef>
          </c:cat>
          <c:val>
            <c:numRef>
              <c:f>Daten!$J$2:$J$13</c:f>
              <c:numCache>
                <c:formatCode>General</c:formatCode>
                <c:ptCount val="12"/>
                <c:pt idx="0">
                  <c:v>0.109</c:v>
                </c:pt>
                <c:pt idx="1">
                  <c:v>0.13200000000000001</c:v>
                </c:pt>
                <c:pt idx="2">
                  <c:v>0.12</c:v>
                </c:pt>
                <c:pt idx="3">
                  <c:v>6.7000000000000004E-2</c:v>
                </c:pt>
                <c:pt idx="4">
                  <c:v>0.16300000000000001</c:v>
                </c:pt>
                <c:pt idx="5">
                  <c:v>8.2000000000000003E-2</c:v>
                </c:pt>
                <c:pt idx="6">
                  <c:v>5.8999999999999997E-2</c:v>
                </c:pt>
                <c:pt idx="7">
                  <c:v>8.6999999999999994E-2</c:v>
                </c:pt>
                <c:pt idx="8">
                  <c:v>0.1</c:v>
                </c:pt>
                <c:pt idx="9">
                  <c:v>8.8999999999999996E-2</c:v>
                </c:pt>
                <c:pt idx="10">
                  <c:v>0.06</c:v>
                </c:pt>
                <c:pt idx="11">
                  <c:v>0.114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0-BB4A-4176-8E65-0CFA589446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1157056"/>
        <c:axId val="110115273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Daten!$B$1</c15:sqref>
                        </c15:formulaRef>
                      </c:ext>
                    </c:extLst>
                    <c:strCache>
                      <c:ptCount val="1"/>
                      <c:pt idx="0">
                        <c:v>Gesamtanzahl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Daten!$B$2:$B$13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3004</c:v>
                      </c:pt>
                      <c:pt idx="1">
                        <c:v>3004</c:v>
                      </c:pt>
                      <c:pt idx="2">
                        <c:v>3004</c:v>
                      </c:pt>
                      <c:pt idx="3">
                        <c:v>3004</c:v>
                      </c:pt>
                      <c:pt idx="4">
                        <c:v>3004</c:v>
                      </c:pt>
                      <c:pt idx="5">
                        <c:v>3004</c:v>
                      </c:pt>
                      <c:pt idx="6">
                        <c:v>3004</c:v>
                      </c:pt>
                      <c:pt idx="7">
                        <c:v>3004</c:v>
                      </c:pt>
                      <c:pt idx="8">
                        <c:v>3004</c:v>
                      </c:pt>
                      <c:pt idx="9">
                        <c:v>3004</c:v>
                      </c:pt>
                      <c:pt idx="10">
                        <c:v>3004</c:v>
                      </c:pt>
                      <c:pt idx="11">
                        <c:v>3004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BB4A-4176-8E65-0CFA589446B3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Daten!$C$1</c15:sqref>
                        </c15:formulaRef>
                      </c:ext>
                    </c:extLst>
                    <c:strCache>
                      <c:ptCount val="1"/>
                      <c:pt idx="0">
                        <c:v>Anzahl_Klassifikationen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Daten!$C$2:$C$13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2996</c:v>
                      </c:pt>
                      <c:pt idx="1">
                        <c:v>2990</c:v>
                      </c:pt>
                      <c:pt idx="2">
                        <c:v>2998</c:v>
                      </c:pt>
                      <c:pt idx="3">
                        <c:v>3002</c:v>
                      </c:pt>
                      <c:pt idx="4">
                        <c:v>2996</c:v>
                      </c:pt>
                      <c:pt idx="5">
                        <c:v>2998</c:v>
                      </c:pt>
                      <c:pt idx="6">
                        <c:v>2973</c:v>
                      </c:pt>
                      <c:pt idx="7">
                        <c:v>2989</c:v>
                      </c:pt>
                      <c:pt idx="8">
                        <c:v>2996</c:v>
                      </c:pt>
                      <c:pt idx="9">
                        <c:v>3002</c:v>
                      </c:pt>
                      <c:pt idx="10">
                        <c:v>2995</c:v>
                      </c:pt>
                      <c:pt idx="11">
                        <c:v>3000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B4A-4176-8E65-0CFA589446B3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Daten!$D$1</c15:sqref>
                        </c15:formulaRef>
                      </c:ext>
                    </c:extLst>
                    <c:strCache>
                      <c:ptCount val="1"/>
                      <c:pt idx="0">
                        <c:v>Fehlende ('-'/NaN/leer)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Daten!$D$2:$D$13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</c:v>
                      </c:pt>
                      <c:pt idx="1">
                        <c:v>14</c:v>
                      </c:pt>
                      <c:pt idx="2">
                        <c:v>6</c:v>
                      </c:pt>
                      <c:pt idx="3">
                        <c:v>2</c:v>
                      </c:pt>
                      <c:pt idx="4">
                        <c:v>8</c:v>
                      </c:pt>
                      <c:pt idx="5">
                        <c:v>6</c:v>
                      </c:pt>
                      <c:pt idx="6">
                        <c:v>31</c:v>
                      </c:pt>
                      <c:pt idx="7">
                        <c:v>15</c:v>
                      </c:pt>
                      <c:pt idx="8">
                        <c:v>8</c:v>
                      </c:pt>
                      <c:pt idx="9">
                        <c:v>2</c:v>
                      </c:pt>
                      <c:pt idx="10">
                        <c:v>9</c:v>
                      </c:pt>
                      <c:pt idx="11">
                        <c:v>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B4A-4176-8E65-0CFA589446B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Daten!$E$1</c15:sqref>
                        </c15:formulaRef>
                      </c:ext>
                    </c:extLst>
                    <c:strCache>
                      <c:ptCount val="1"/>
                      <c:pt idx="0">
                        <c:v>Accuracy (bereinigt)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Daten!$E$2:$E$13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0.74299999999999999</c:v>
                      </c:pt>
                      <c:pt idx="1">
                        <c:v>0.79300000000000004</c:v>
                      </c:pt>
                      <c:pt idx="2">
                        <c:v>0.80200000000000005</c:v>
                      </c:pt>
                      <c:pt idx="3">
                        <c:v>0.72799999999999998</c:v>
                      </c:pt>
                      <c:pt idx="4">
                        <c:v>0.88600000000000001</c:v>
                      </c:pt>
                      <c:pt idx="5">
                        <c:v>0.70199999999999996</c:v>
                      </c:pt>
                      <c:pt idx="6">
                        <c:v>0.44900000000000001</c:v>
                      </c:pt>
                      <c:pt idx="7">
                        <c:v>0.69299999999999995</c:v>
                      </c:pt>
                      <c:pt idx="8">
                        <c:v>0.78</c:v>
                      </c:pt>
                      <c:pt idx="9">
                        <c:v>0.71899999999999997</c:v>
                      </c:pt>
                      <c:pt idx="10">
                        <c:v>0.32900000000000001</c:v>
                      </c:pt>
                      <c:pt idx="11">
                        <c:v>0.84899999999999998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B4A-4176-8E65-0CFA589446B3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Daten!$F$1</c15:sqref>
                        </c15:formulaRef>
                      </c:ext>
                    </c:extLst>
                    <c:strCache>
                      <c:ptCount val="1"/>
                      <c:pt idx="0">
                        <c:v>TP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Daten!$F$2:$F$13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88</c:v>
                      </c:pt>
                      <c:pt idx="1">
                        <c:v>87</c:v>
                      </c:pt>
                      <c:pt idx="2">
                        <c:v>72</c:v>
                      </c:pt>
                      <c:pt idx="3">
                        <c:v>53</c:v>
                      </c:pt>
                      <c:pt idx="4">
                        <c:v>50</c:v>
                      </c:pt>
                      <c:pt idx="5">
                        <c:v>74</c:v>
                      </c:pt>
                      <c:pt idx="6">
                        <c:v>101</c:v>
                      </c:pt>
                      <c:pt idx="7">
                        <c:v>82</c:v>
                      </c:pt>
                      <c:pt idx="8">
                        <c:v>65</c:v>
                      </c:pt>
                      <c:pt idx="9">
                        <c:v>77</c:v>
                      </c:pt>
                      <c:pt idx="10">
                        <c:v>128</c:v>
                      </c:pt>
                      <c:pt idx="11">
                        <c:v>47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B4A-4176-8E65-0CFA589446B3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Daten!$G$1</c15:sqref>
                        </c15:formulaRef>
                      </c:ext>
                    </c:extLst>
                    <c:strCache>
                      <c:ptCount val="1"/>
                      <c:pt idx="0">
                        <c:v>FP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Daten!$G$2:$G$13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721</c:v>
                      </c:pt>
                      <c:pt idx="1">
                        <c:v>570</c:v>
                      </c:pt>
                      <c:pt idx="2">
                        <c:v>530</c:v>
                      </c:pt>
                      <c:pt idx="3">
                        <c:v>734</c:v>
                      </c:pt>
                      <c:pt idx="4">
                        <c:v>256</c:v>
                      </c:pt>
                      <c:pt idx="5">
                        <c:v>830</c:v>
                      </c:pt>
                      <c:pt idx="6">
                        <c:v>1604</c:v>
                      </c:pt>
                      <c:pt idx="7">
                        <c:v>864</c:v>
                      </c:pt>
                      <c:pt idx="8">
                        <c:v>588</c:v>
                      </c:pt>
                      <c:pt idx="9">
                        <c:v>785</c:v>
                      </c:pt>
                      <c:pt idx="10">
                        <c:v>2002</c:v>
                      </c:pt>
                      <c:pt idx="11">
                        <c:v>364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BB4A-4176-8E65-0CFA589446B3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Daten!$H$1</c15:sqref>
                        </c15:formulaRef>
                      </c:ext>
                    </c:extLst>
                    <c:strCache>
                      <c:ptCount val="1"/>
                      <c:pt idx="0">
                        <c:v>FN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Daten!$H$2:$H$13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49</c:v>
                      </c:pt>
                      <c:pt idx="1">
                        <c:v>50</c:v>
                      </c:pt>
                      <c:pt idx="2">
                        <c:v>65</c:v>
                      </c:pt>
                      <c:pt idx="3">
                        <c:v>83</c:v>
                      </c:pt>
                      <c:pt idx="4">
                        <c:v>86</c:v>
                      </c:pt>
                      <c:pt idx="5">
                        <c:v>63</c:v>
                      </c:pt>
                      <c:pt idx="6">
                        <c:v>34</c:v>
                      </c:pt>
                      <c:pt idx="7">
                        <c:v>54</c:v>
                      </c:pt>
                      <c:pt idx="8">
                        <c:v>71</c:v>
                      </c:pt>
                      <c:pt idx="9">
                        <c:v>60</c:v>
                      </c:pt>
                      <c:pt idx="10">
                        <c:v>8</c:v>
                      </c:pt>
                      <c:pt idx="11">
                        <c:v>90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BB4A-4176-8E65-0CFA589446B3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Daten!$I$1</c15:sqref>
                        </c15:formulaRef>
                      </c:ext>
                    </c:extLst>
                    <c:strCache>
                      <c:ptCount val="1"/>
                      <c:pt idx="0">
                        <c:v>TN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Daten!$I$2:$I$13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2138</c:v>
                      </c:pt>
                      <c:pt idx="1">
                        <c:v>2283</c:v>
                      </c:pt>
                      <c:pt idx="2">
                        <c:v>2331</c:v>
                      </c:pt>
                      <c:pt idx="3">
                        <c:v>2132</c:v>
                      </c:pt>
                      <c:pt idx="4">
                        <c:v>2604</c:v>
                      </c:pt>
                      <c:pt idx="5">
                        <c:v>2031</c:v>
                      </c:pt>
                      <c:pt idx="6">
                        <c:v>1234</c:v>
                      </c:pt>
                      <c:pt idx="7">
                        <c:v>1989</c:v>
                      </c:pt>
                      <c:pt idx="8">
                        <c:v>2272</c:v>
                      </c:pt>
                      <c:pt idx="9">
                        <c:v>2080</c:v>
                      </c:pt>
                      <c:pt idx="10">
                        <c:v>857</c:v>
                      </c:pt>
                      <c:pt idx="11">
                        <c:v>2499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BB4A-4176-8E65-0CFA589446B3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Daten!$K$1</c15:sqref>
                        </c15:formulaRef>
                      </c:ext>
                    </c:extLst>
                    <c:strCache>
                      <c:ptCount val="1"/>
                      <c:pt idx="0">
                        <c:v>Recall      (Unwirksam)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Daten!$K$2:$K$13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0.64200000000000002</c:v>
                      </c:pt>
                      <c:pt idx="1">
                        <c:v>0.63500000000000001</c:v>
                      </c:pt>
                      <c:pt idx="2">
                        <c:v>0.52600000000000002</c:v>
                      </c:pt>
                      <c:pt idx="3">
                        <c:v>0.39</c:v>
                      </c:pt>
                      <c:pt idx="4">
                        <c:v>0.36799999999999999</c:v>
                      </c:pt>
                      <c:pt idx="5">
                        <c:v>0.54</c:v>
                      </c:pt>
                      <c:pt idx="6">
                        <c:v>0.748</c:v>
                      </c:pt>
                      <c:pt idx="7">
                        <c:v>0.60299999999999998</c:v>
                      </c:pt>
                      <c:pt idx="8">
                        <c:v>0.47799999999999998</c:v>
                      </c:pt>
                      <c:pt idx="9">
                        <c:v>0.56200000000000006</c:v>
                      </c:pt>
                      <c:pt idx="10">
                        <c:v>0.94099999999999995</c:v>
                      </c:pt>
                      <c:pt idx="11">
                        <c:v>0.34300000000000003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BB4A-4176-8E65-0CFA589446B3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Daten!$L$1</c15:sqref>
                        </c15:formulaRef>
                      </c:ext>
                    </c:extLst>
                    <c:strCache>
                      <c:ptCount val="1"/>
                      <c:pt idx="0">
                        <c:v>F1      (Unwirksam)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Daten!$L$2:$L$13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0.186</c:v>
                      </c:pt>
                      <c:pt idx="1">
                        <c:v>0.219</c:v>
                      </c:pt>
                      <c:pt idx="2">
                        <c:v>0.19500000000000001</c:v>
                      </c:pt>
                      <c:pt idx="3">
                        <c:v>0.115</c:v>
                      </c:pt>
                      <c:pt idx="4">
                        <c:v>0.22600000000000001</c:v>
                      </c:pt>
                      <c:pt idx="5">
                        <c:v>0.14199999999999999</c:v>
                      </c:pt>
                      <c:pt idx="6">
                        <c:v>0.11</c:v>
                      </c:pt>
                      <c:pt idx="7">
                        <c:v>0.152</c:v>
                      </c:pt>
                      <c:pt idx="8">
                        <c:v>0.16500000000000001</c:v>
                      </c:pt>
                      <c:pt idx="9">
                        <c:v>0.154</c:v>
                      </c:pt>
                      <c:pt idx="10">
                        <c:v>0.113</c:v>
                      </c:pt>
                      <c:pt idx="11">
                        <c:v>0.17199999999999999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B4A-4176-8E65-0CFA589446B3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Daten!$M$1</c15:sqref>
                        </c15:formulaRef>
                      </c:ext>
                    </c:extLst>
                    <c:strCache>
                      <c:ptCount val="1"/>
                      <c:pt idx="0">
                        <c:v>Precision      (Wirksam)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Daten!$M$2:$M$13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0.97799999999999998</c:v>
                      </c:pt>
                      <c:pt idx="1">
                        <c:v>0.97899999999999998</c:v>
                      </c:pt>
                      <c:pt idx="2">
                        <c:v>0.97299999999999998</c:v>
                      </c:pt>
                      <c:pt idx="3">
                        <c:v>0.96299999999999997</c:v>
                      </c:pt>
                      <c:pt idx="4">
                        <c:v>0.96799999999999997</c:v>
                      </c:pt>
                      <c:pt idx="5">
                        <c:v>0.97</c:v>
                      </c:pt>
                      <c:pt idx="6">
                        <c:v>0.97299999999999998</c:v>
                      </c:pt>
                      <c:pt idx="7">
                        <c:v>0.97399999999999998</c:v>
                      </c:pt>
                      <c:pt idx="8">
                        <c:v>0.97</c:v>
                      </c:pt>
                      <c:pt idx="9">
                        <c:v>0.97199999999999998</c:v>
                      </c:pt>
                      <c:pt idx="10">
                        <c:v>0.99099999999999999</c:v>
                      </c:pt>
                      <c:pt idx="11">
                        <c:v>0.96499999999999997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BB4A-4176-8E65-0CFA589446B3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Daten!$N$1</c15:sqref>
                        </c15:formulaRef>
                      </c:ext>
                    </c:extLst>
                    <c:strCache>
                      <c:ptCount val="1"/>
                      <c:pt idx="0">
                        <c:v>Recall (Wirksam)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Daten!$N$2:$N$13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0.748</c:v>
                      </c:pt>
                      <c:pt idx="1">
                        <c:v>0.8</c:v>
                      </c:pt>
                      <c:pt idx="2">
                        <c:v>0.81499999999999995</c:v>
                      </c:pt>
                      <c:pt idx="3">
                        <c:v>0.74399999999999999</c:v>
                      </c:pt>
                      <c:pt idx="4">
                        <c:v>0.91</c:v>
                      </c:pt>
                      <c:pt idx="5">
                        <c:v>0.71</c:v>
                      </c:pt>
                      <c:pt idx="6">
                        <c:v>0.435</c:v>
                      </c:pt>
                      <c:pt idx="7">
                        <c:v>0.69699999999999995</c:v>
                      </c:pt>
                      <c:pt idx="8">
                        <c:v>0.79400000000000004</c:v>
                      </c:pt>
                      <c:pt idx="9">
                        <c:v>0.72599999999999998</c:v>
                      </c:pt>
                      <c:pt idx="10">
                        <c:v>0.3</c:v>
                      </c:pt>
                      <c:pt idx="11">
                        <c:v>0.873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BB4A-4176-8E65-0CFA589446B3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Daten!$O$1</c15:sqref>
                        </c15:formulaRef>
                      </c:ext>
                    </c:extLst>
                    <c:strCache>
                      <c:ptCount val="1"/>
                      <c:pt idx="0">
                        <c:v>F1                           (Wirksam)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Daten!$O$2:$O$13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0.84699999999999998</c:v>
                      </c:pt>
                      <c:pt idx="1">
                        <c:v>0.88</c:v>
                      </c:pt>
                      <c:pt idx="2">
                        <c:v>0.88700000000000001</c:v>
                      </c:pt>
                      <c:pt idx="3">
                        <c:v>0.83899999999999997</c:v>
                      </c:pt>
                      <c:pt idx="4">
                        <c:v>0.93799999999999994</c:v>
                      </c:pt>
                      <c:pt idx="5">
                        <c:v>0.82</c:v>
                      </c:pt>
                      <c:pt idx="6">
                        <c:v>0.60099999999999998</c:v>
                      </c:pt>
                      <c:pt idx="7">
                        <c:v>0.81200000000000006</c:v>
                      </c:pt>
                      <c:pt idx="8">
                        <c:v>0.873</c:v>
                      </c:pt>
                      <c:pt idx="9">
                        <c:v>0.83099999999999996</c:v>
                      </c:pt>
                      <c:pt idx="10">
                        <c:v>0.46</c:v>
                      </c:pt>
                      <c:pt idx="11">
                        <c:v>0.91700000000000004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BB4A-4176-8E65-0CFA589446B3}"/>
                  </c:ext>
                </c:extLst>
              </c15:ser>
            </c15:filteredBarSeries>
            <c15:filteredB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Daten!$P$1</c15:sqref>
                        </c15:formulaRef>
                      </c:ext>
                    </c:extLst>
                    <c:strCache>
                      <c:ptCount val="1"/>
                      <c:pt idx="0">
                        <c:v>F1           (macro)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Daten!$P$2:$P$13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0.51700000000000002</c:v>
                      </c:pt>
                      <c:pt idx="1">
                        <c:v>0.55000000000000004</c:v>
                      </c:pt>
                      <c:pt idx="2">
                        <c:v>0.54100000000000004</c:v>
                      </c:pt>
                      <c:pt idx="3">
                        <c:v>0.47699999999999998</c:v>
                      </c:pt>
                      <c:pt idx="4">
                        <c:v>0.58199999999999996</c:v>
                      </c:pt>
                      <c:pt idx="5">
                        <c:v>0.48099999999999998</c:v>
                      </c:pt>
                      <c:pt idx="6">
                        <c:v>0.35499999999999998</c:v>
                      </c:pt>
                      <c:pt idx="7">
                        <c:v>0.48199999999999998</c:v>
                      </c:pt>
                      <c:pt idx="8">
                        <c:v>0.51900000000000002</c:v>
                      </c:pt>
                      <c:pt idx="9">
                        <c:v>0.49299999999999999</c:v>
                      </c:pt>
                      <c:pt idx="10">
                        <c:v>0.28699999999999998</c:v>
                      </c:pt>
                      <c:pt idx="11">
                        <c:v>0.54400000000000004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BB4A-4176-8E65-0CFA589446B3}"/>
                  </c:ext>
                </c:extLst>
              </c15:ser>
            </c15:filteredBarSeries>
            <c15:filteredBa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Daten!$Q$1</c15:sqref>
                        </c15:formulaRef>
                      </c:ext>
                    </c:extLst>
                    <c:strCache>
                      <c:ptCount val="1"/>
                      <c:pt idx="0">
                        <c:v>F1                 (weighted)</c:v>
                      </c:pt>
                    </c:strCache>
                  </c:strRef>
                </c:tx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Daten!$Q$2:$Q$13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0.81699999999999995</c:v>
                      </c:pt>
                      <c:pt idx="1">
                        <c:v>0.85</c:v>
                      </c:pt>
                      <c:pt idx="2">
                        <c:v>0.85499999999999998</c:v>
                      </c:pt>
                      <c:pt idx="3">
                        <c:v>0.80600000000000005</c:v>
                      </c:pt>
                      <c:pt idx="4">
                        <c:v>0.90600000000000003</c:v>
                      </c:pt>
                      <c:pt idx="5">
                        <c:v>0.78900000000000003</c:v>
                      </c:pt>
                      <c:pt idx="6">
                        <c:v>0.57899999999999996</c:v>
                      </c:pt>
                      <c:pt idx="7">
                        <c:v>0.78200000000000003</c:v>
                      </c:pt>
                      <c:pt idx="8">
                        <c:v>0.84099999999999997</c:v>
                      </c:pt>
                      <c:pt idx="9">
                        <c:v>0.8</c:v>
                      </c:pt>
                      <c:pt idx="10">
                        <c:v>0.44400000000000001</c:v>
                      </c:pt>
                      <c:pt idx="11">
                        <c:v>0.88300000000000001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BB4A-4176-8E65-0CFA589446B3}"/>
                  </c:ext>
                </c:extLst>
              </c15:ser>
            </c15:filteredBarSeries>
          </c:ext>
        </c:extLst>
      </c:barChart>
      <c:catAx>
        <c:axId val="110115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01152736"/>
        <c:crosses val="autoZero"/>
        <c:auto val="1"/>
        <c:lblAlgn val="ctr"/>
        <c:lblOffset val="100"/>
        <c:noMultiLvlLbl val="0"/>
      </c:catAx>
      <c:valAx>
        <c:axId val="110115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01157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Prec</a:t>
            </a:r>
            <a:r>
              <a:rPr lang="de-DE" baseline="0"/>
              <a:t> </a:t>
            </a:r>
            <a:r>
              <a:rPr lang="de-DE"/>
              <a:t>wirksam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11"/>
          <c:order val="11"/>
          <c:tx>
            <c:strRef>
              <c:f>Daten!$M$1</c:f>
              <c:strCache>
                <c:ptCount val="1"/>
                <c:pt idx="0">
                  <c:v>Precision      (Wirksam)</c:v>
                </c:pt>
              </c:strCache>
              <c:extLst xmlns:c15="http://schemas.microsoft.com/office/drawing/2012/chart"/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Daten!$A$2:$A$13</c:f>
              <c:strCache>
                <c:ptCount val="12"/>
                <c:pt idx="0">
                  <c:v>Grok-3</c:v>
                </c:pt>
                <c:pt idx="1">
                  <c:v>GPT5</c:v>
                </c:pt>
                <c:pt idx="2">
                  <c:v>GPT4</c:v>
                </c:pt>
                <c:pt idx="3">
                  <c:v>OSS120B</c:v>
                </c:pt>
                <c:pt idx="4">
                  <c:v>GPT o4-mini</c:v>
                </c:pt>
                <c:pt idx="5">
                  <c:v>DeepseekR1</c:v>
                </c:pt>
                <c:pt idx="6">
                  <c:v>OSS20B</c:v>
                </c:pt>
                <c:pt idx="7">
                  <c:v>Gemma27B</c:v>
                </c:pt>
                <c:pt idx="8">
                  <c:v>Mistral8B</c:v>
                </c:pt>
                <c:pt idx="9">
                  <c:v>LLama38B</c:v>
                </c:pt>
                <c:pt idx="10">
                  <c:v>Llama3DiscoLeo8B</c:v>
                </c:pt>
                <c:pt idx="11">
                  <c:v>GeminiFlashLite2.5</c:v>
                </c:pt>
              </c:strCache>
              <c:extLst xmlns:c15="http://schemas.microsoft.com/office/drawing/2012/chart"/>
            </c:strRef>
          </c:cat>
          <c:val>
            <c:numRef>
              <c:f>Daten!$M$2:$M$13</c:f>
              <c:numCache>
                <c:formatCode>General</c:formatCode>
                <c:ptCount val="12"/>
                <c:pt idx="0">
                  <c:v>0.97799999999999998</c:v>
                </c:pt>
                <c:pt idx="1">
                  <c:v>0.97899999999999998</c:v>
                </c:pt>
                <c:pt idx="2">
                  <c:v>0.97299999999999998</c:v>
                </c:pt>
                <c:pt idx="3">
                  <c:v>0.96299999999999997</c:v>
                </c:pt>
                <c:pt idx="4">
                  <c:v>0.96799999999999997</c:v>
                </c:pt>
                <c:pt idx="5">
                  <c:v>0.97</c:v>
                </c:pt>
                <c:pt idx="6">
                  <c:v>0.97299999999999998</c:v>
                </c:pt>
                <c:pt idx="7">
                  <c:v>0.97399999999999998</c:v>
                </c:pt>
                <c:pt idx="8">
                  <c:v>0.97</c:v>
                </c:pt>
                <c:pt idx="9">
                  <c:v>0.97199999999999998</c:v>
                </c:pt>
                <c:pt idx="10">
                  <c:v>0.99099999999999999</c:v>
                </c:pt>
                <c:pt idx="11">
                  <c:v>0.96499999999999997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0-B813-4091-B108-F4245A7C9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1157056"/>
        <c:axId val="110115273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Daten!$B$1</c15:sqref>
                        </c15:formulaRef>
                      </c:ext>
                    </c:extLst>
                    <c:strCache>
                      <c:ptCount val="1"/>
                      <c:pt idx="0">
                        <c:v>Gesamtanzahl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Daten!$B$2:$B$13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3004</c:v>
                      </c:pt>
                      <c:pt idx="1">
                        <c:v>3004</c:v>
                      </c:pt>
                      <c:pt idx="2">
                        <c:v>3004</c:v>
                      </c:pt>
                      <c:pt idx="3">
                        <c:v>3004</c:v>
                      </c:pt>
                      <c:pt idx="4">
                        <c:v>3004</c:v>
                      </c:pt>
                      <c:pt idx="5">
                        <c:v>3004</c:v>
                      </c:pt>
                      <c:pt idx="6">
                        <c:v>3004</c:v>
                      </c:pt>
                      <c:pt idx="7">
                        <c:v>3004</c:v>
                      </c:pt>
                      <c:pt idx="8">
                        <c:v>3004</c:v>
                      </c:pt>
                      <c:pt idx="9">
                        <c:v>3004</c:v>
                      </c:pt>
                      <c:pt idx="10">
                        <c:v>3004</c:v>
                      </c:pt>
                      <c:pt idx="11">
                        <c:v>3004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B813-4091-B108-F4245A7C9F61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Daten!$C$1</c15:sqref>
                        </c15:formulaRef>
                      </c:ext>
                    </c:extLst>
                    <c:strCache>
                      <c:ptCount val="1"/>
                      <c:pt idx="0">
                        <c:v>Anzahl_Klassifikationen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Daten!$C$2:$C$13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2996</c:v>
                      </c:pt>
                      <c:pt idx="1">
                        <c:v>2990</c:v>
                      </c:pt>
                      <c:pt idx="2">
                        <c:v>2998</c:v>
                      </c:pt>
                      <c:pt idx="3">
                        <c:v>3002</c:v>
                      </c:pt>
                      <c:pt idx="4">
                        <c:v>2996</c:v>
                      </c:pt>
                      <c:pt idx="5">
                        <c:v>2998</c:v>
                      </c:pt>
                      <c:pt idx="6">
                        <c:v>2973</c:v>
                      </c:pt>
                      <c:pt idx="7">
                        <c:v>2989</c:v>
                      </c:pt>
                      <c:pt idx="8">
                        <c:v>2996</c:v>
                      </c:pt>
                      <c:pt idx="9">
                        <c:v>3002</c:v>
                      </c:pt>
                      <c:pt idx="10">
                        <c:v>2995</c:v>
                      </c:pt>
                      <c:pt idx="11">
                        <c:v>3000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813-4091-B108-F4245A7C9F61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Daten!$D$1</c15:sqref>
                        </c15:formulaRef>
                      </c:ext>
                    </c:extLst>
                    <c:strCache>
                      <c:ptCount val="1"/>
                      <c:pt idx="0">
                        <c:v>Fehlende ('-'/NaN/leer)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Daten!$D$2:$D$13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</c:v>
                      </c:pt>
                      <c:pt idx="1">
                        <c:v>14</c:v>
                      </c:pt>
                      <c:pt idx="2">
                        <c:v>6</c:v>
                      </c:pt>
                      <c:pt idx="3">
                        <c:v>2</c:v>
                      </c:pt>
                      <c:pt idx="4">
                        <c:v>8</c:v>
                      </c:pt>
                      <c:pt idx="5">
                        <c:v>6</c:v>
                      </c:pt>
                      <c:pt idx="6">
                        <c:v>31</c:v>
                      </c:pt>
                      <c:pt idx="7">
                        <c:v>15</c:v>
                      </c:pt>
                      <c:pt idx="8">
                        <c:v>8</c:v>
                      </c:pt>
                      <c:pt idx="9">
                        <c:v>2</c:v>
                      </c:pt>
                      <c:pt idx="10">
                        <c:v>9</c:v>
                      </c:pt>
                      <c:pt idx="11">
                        <c:v>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813-4091-B108-F4245A7C9F61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Daten!$E$1</c15:sqref>
                        </c15:formulaRef>
                      </c:ext>
                    </c:extLst>
                    <c:strCache>
                      <c:ptCount val="1"/>
                      <c:pt idx="0">
                        <c:v>Accuracy (bereinigt)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Daten!$E$2:$E$13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0.74299999999999999</c:v>
                      </c:pt>
                      <c:pt idx="1">
                        <c:v>0.79300000000000004</c:v>
                      </c:pt>
                      <c:pt idx="2">
                        <c:v>0.80200000000000005</c:v>
                      </c:pt>
                      <c:pt idx="3">
                        <c:v>0.72799999999999998</c:v>
                      </c:pt>
                      <c:pt idx="4">
                        <c:v>0.88600000000000001</c:v>
                      </c:pt>
                      <c:pt idx="5">
                        <c:v>0.70199999999999996</c:v>
                      </c:pt>
                      <c:pt idx="6">
                        <c:v>0.44900000000000001</c:v>
                      </c:pt>
                      <c:pt idx="7">
                        <c:v>0.69299999999999995</c:v>
                      </c:pt>
                      <c:pt idx="8">
                        <c:v>0.78</c:v>
                      </c:pt>
                      <c:pt idx="9">
                        <c:v>0.71899999999999997</c:v>
                      </c:pt>
                      <c:pt idx="10">
                        <c:v>0.32900000000000001</c:v>
                      </c:pt>
                      <c:pt idx="11">
                        <c:v>0.84899999999999998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813-4091-B108-F4245A7C9F61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Daten!$F$1</c15:sqref>
                        </c15:formulaRef>
                      </c:ext>
                    </c:extLst>
                    <c:strCache>
                      <c:ptCount val="1"/>
                      <c:pt idx="0">
                        <c:v>TP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Daten!$F$2:$F$13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88</c:v>
                      </c:pt>
                      <c:pt idx="1">
                        <c:v>87</c:v>
                      </c:pt>
                      <c:pt idx="2">
                        <c:v>72</c:v>
                      </c:pt>
                      <c:pt idx="3">
                        <c:v>53</c:v>
                      </c:pt>
                      <c:pt idx="4">
                        <c:v>50</c:v>
                      </c:pt>
                      <c:pt idx="5">
                        <c:v>74</c:v>
                      </c:pt>
                      <c:pt idx="6">
                        <c:v>101</c:v>
                      </c:pt>
                      <c:pt idx="7">
                        <c:v>82</c:v>
                      </c:pt>
                      <c:pt idx="8">
                        <c:v>65</c:v>
                      </c:pt>
                      <c:pt idx="9">
                        <c:v>77</c:v>
                      </c:pt>
                      <c:pt idx="10">
                        <c:v>128</c:v>
                      </c:pt>
                      <c:pt idx="11">
                        <c:v>47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813-4091-B108-F4245A7C9F61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Daten!$G$1</c15:sqref>
                        </c15:formulaRef>
                      </c:ext>
                    </c:extLst>
                    <c:strCache>
                      <c:ptCount val="1"/>
                      <c:pt idx="0">
                        <c:v>FP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Daten!$G$2:$G$13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721</c:v>
                      </c:pt>
                      <c:pt idx="1">
                        <c:v>570</c:v>
                      </c:pt>
                      <c:pt idx="2">
                        <c:v>530</c:v>
                      </c:pt>
                      <c:pt idx="3">
                        <c:v>734</c:v>
                      </c:pt>
                      <c:pt idx="4">
                        <c:v>256</c:v>
                      </c:pt>
                      <c:pt idx="5">
                        <c:v>830</c:v>
                      </c:pt>
                      <c:pt idx="6">
                        <c:v>1604</c:v>
                      </c:pt>
                      <c:pt idx="7">
                        <c:v>864</c:v>
                      </c:pt>
                      <c:pt idx="8">
                        <c:v>588</c:v>
                      </c:pt>
                      <c:pt idx="9">
                        <c:v>785</c:v>
                      </c:pt>
                      <c:pt idx="10">
                        <c:v>2002</c:v>
                      </c:pt>
                      <c:pt idx="11">
                        <c:v>364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B813-4091-B108-F4245A7C9F61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Daten!$H$1</c15:sqref>
                        </c15:formulaRef>
                      </c:ext>
                    </c:extLst>
                    <c:strCache>
                      <c:ptCount val="1"/>
                      <c:pt idx="0">
                        <c:v>FN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Daten!$H$2:$H$13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49</c:v>
                      </c:pt>
                      <c:pt idx="1">
                        <c:v>50</c:v>
                      </c:pt>
                      <c:pt idx="2">
                        <c:v>65</c:v>
                      </c:pt>
                      <c:pt idx="3">
                        <c:v>83</c:v>
                      </c:pt>
                      <c:pt idx="4">
                        <c:v>86</c:v>
                      </c:pt>
                      <c:pt idx="5">
                        <c:v>63</c:v>
                      </c:pt>
                      <c:pt idx="6">
                        <c:v>34</c:v>
                      </c:pt>
                      <c:pt idx="7">
                        <c:v>54</c:v>
                      </c:pt>
                      <c:pt idx="8">
                        <c:v>71</c:v>
                      </c:pt>
                      <c:pt idx="9">
                        <c:v>60</c:v>
                      </c:pt>
                      <c:pt idx="10">
                        <c:v>8</c:v>
                      </c:pt>
                      <c:pt idx="11">
                        <c:v>90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B813-4091-B108-F4245A7C9F61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Daten!$I$1</c15:sqref>
                        </c15:formulaRef>
                      </c:ext>
                    </c:extLst>
                    <c:strCache>
                      <c:ptCount val="1"/>
                      <c:pt idx="0">
                        <c:v>TN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Daten!$I$2:$I$13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2138</c:v>
                      </c:pt>
                      <c:pt idx="1">
                        <c:v>2283</c:v>
                      </c:pt>
                      <c:pt idx="2">
                        <c:v>2331</c:v>
                      </c:pt>
                      <c:pt idx="3">
                        <c:v>2132</c:v>
                      </c:pt>
                      <c:pt idx="4">
                        <c:v>2604</c:v>
                      </c:pt>
                      <c:pt idx="5">
                        <c:v>2031</c:v>
                      </c:pt>
                      <c:pt idx="6">
                        <c:v>1234</c:v>
                      </c:pt>
                      <c:pt idx="7">
                        <c:v>1989</c:v>
                      </c:pt>
                      <c:pt idx="8">
                        <c:v>2272</c:v>
                      </c:pt>
                      <c:pt idx="9">
                        <c:v>2080</c:v>
                      </c:pt>
                      <c:pt idx="10">
                        <c:v>857</c:v>
                      </c:pt>
                      <c:pt idx="11">
                        <c:v>2499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B813-4091-B108-F4245A7C9F61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Daten!$J$1</c15:sqref>
                        </c15:formulaRef>
                      </c:ext>
                    </c:extLst>
                    <c:strCache>
                      <c:ptCount val="1"/>
                      <c:pt idx="0">
                        <c:v>Precision      (Unwirksam)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Daten!$J$2:$J$13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0.109</c:v>
                      </c:pt>
                      <c:pt idx="1">
                        <c:v>0.13200000000000001</c:v>
                      </c:pt>
                      <c:pt idx="2">
                        <c:v>0.12</c:v>
                      </c:pt>
                      <c:pt idx="3">
                        <c:v>6.7000000000000004E-2</c:v>
                      </c:pt>
                      <c:pt idx="4">
                        <c:v>0.16300000000000001</c:v>
                      </c:pt>
                      <c:pt idx="5">
                        <c:v>8.2000000000000003E-2</c:v>
                      </c:pt>
                      <c:pt idx="6">
                        <c:v>5.8999999999999997E-2</c:v>
                      </c:pt>
                      <c:pt idx="7">
                        <c:v>8.6999999999999994E-2</c:v>
                      </c:pt>
                      <c:pt idx="8">
                        <c:v>0.1</c:v>
                      </c:pt>
                      <c:pt idx="9">
                        <c:v>8.8999999999999996E-2</c:v>
                      </c:pt>
                      <c:pt idx="10">
                        <c:v>0.06</c:v>
                      </c:pt>
                      <c:pt idx="11">
                        <c:v>0.114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B813-4091-B108-F4245A7C9F61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Daten!$K$1</c15:sqref>
                        </c15:formulaRef>
                      </c:ext>
                    </c:extLst>
                    <c:strCache>
                      <c:ptCount val="1"/>
                      <c:pt idx="0">
                        <c:v>Recall      (Unwirksam)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Daten!$K$2:$K$13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0.64200000000000002</c:v>
                      </c:pt>
                      <c:pt idx="1">
                        <c:v>0.63500000000000001</c:v>
                      </c:pt>
                      <c:pt idx="2">
                        <c:v>0.52600000000000002</c:v>
                      </c:pt>
                      <c:pt idx="3">
                        <c:v>0.39</c:v>
                      </c:pt>
                      <c:pt idx="4">
                        <c:v>0.36799999999999999</c:v>
                      </c:pt>
                      <c:pt idx="5">
                        <c:v>0.54</c:v>
                      </c:pt>
                      <c:pt idx="6">
                        <c:v>0.748</c:v>
                      </c:pt>
                      <c:pt idx="7">
                        <c:v>0.60299999999999998</c:v>
                      </c:pt>
                      <c:pt idx="8">
                        <c:v>0.47799999999999998</c:v>
                      </c:pt>
                      <c:pt idx="9">
                        <c:v>0.56200000000000006</c:v>
                      </c:pt>
                      <c:pt idx="10">
                        <c:v>0.94099999999999995</c:v>
                      </c:pt>
                      <c:pt idx="11">
                        <c:v>0.34300000000000003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B813-4091-B108-F4245A7C9F61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Daten!$L$1</c15:sqref>
                        </c15:formulaRef>
                      </c:ext>
                    </c:extLst>
                    <c:strCache>
                      <c:ptCount val="1"/>
                      <c:pt idx="0">
                        <c:v>F1      (Unwirksam)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Daten!$L$2:$L$13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0.186</c:v>
                      </c:pt>
                      <c:pt idx="1">
                        <c:v>0.219</c:v>
                      </c:pt>
                      <c:pt idx="2">
                        <c:v>0.19500000000000001</c:v>
                      </c:pt>
                      <c:pt idx="3">
                        <c:v>0.115</c:v>
                      </c:pt>
                      <c:pt idx="4">
                        <c:v>0.22600000000000001</c:v>
                      </c:pt>
                      <c:pt idx="5">
                        <c:v>0.14199999999999999</c:v>
                      </c:pt>
                      <c:pt idx="6">
                        <c:v>0.11</c:v>
                      </c:pt>
                      <c:pt idx="7">
                        <c:v>0.152</c:v>
                      </c:pt>
                      <c:pt idx="8">
                        <c:v>0.16500000000000001</c:v>
                      </c:pt>
                      <c:pt idx="9">
                        <c:v>0.154</c:v>
                      </c:pt>
                      <c:pt idx="10">
                        <c:v>0.113</c:v>
                      </c:pt>
                      <c:pt idx="11">
                        <c:v>0.17199999999999999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B813-4091-B108-F4245A7C9F61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Daten!$N$1</c15:sqref>
                        </c15:formulaRef>
                      </c:ext>
                    </c:extLst>
                    <c:strCache>
                      <c:ptCount val="1"/>
                      <c:pt idx="0">
                        <c:v>Recall (Wirksam)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Daten!$N$2:$N$13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0.748</c:v>
                      </c:pt>
                      <c:pt idx="1">
                        <c:v>0.8</c:v>
                      </c:pt>
                      <c:pt idx="2">
                        <c:v>0.81499999999999995</c:v>
                      </c:pt>
                      <c:pt idx="3">
                        <c:v>0.74399999999999999</c:v>
                      </c:pt>
                      <c:pt idx="4">
                        <c:v>0.91</c:v>
                      </c:pt>
                      <c:pt idx="5">
                        <c:v>0.71</c:v>
                      </c:pt>
                      <c:pt idx="6">
                        <c:v>0.435</c:v>
                      </c:pt>
                      <c:pt idx="7">
                        <c:v>0.69699999999999995</c:v>
                      </c:pt>
                      <c:pt idx="8">
                        <c:v>0.79400000000000004</c:v>
                      </c:pt>
                      <c:pt idx="9">
                        <c:v>0.72599999999999998</c:v>
                      </c:pt>
                      <c:pt idx="10">
                        <c:v>0.3</c:v>
                      </c:pt>
                      <c:pt idx="11">
                        <c:v>0.873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B813-4091-B108-F4245A7C9F61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Daten!$O$1</c15:sqref>
                        </c15:formulaRef>
                      </c:ext>
                    </c:extLst>
                    <c:strCache>
                      <c:ptCount val="1"/>
                      <c:pt idx="0">
                        <c:v>F1                           (Wirksam)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Daten!$O$2:$O$13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0.84699999999999998</c:v>
                      </c:pt>
                      <c:pt idx="1">
                        <c:v>0.88</c:v>
                      </c:pt>
                      <c:pt idx="2">
                        <c:v>0.88700000000000001</c:v>
                      </c:pt>
                      <c:pt idx="3">
                        <c:v>0.83899999999999997</c:v>
                      </c:pt>
                      <c:pt idx="4">
                        <c:v>0.93799999999999994</c:v>
                      </c:pt>
                      <c:pt idx="5">
                        <c:v>0.82</c:v>
                      </c:pt>
                      <c:pt idx="6">
                        <c:v>0.60099999999999998</c:v>
                      </c:pt>
                      <c:pt idx="7">
                        <c:v>0.81200000000000006</c:v>
                      </c:pt>
                      <c:pt idx="8">
                        <c:v>0.873</c:v>
                      </c:pt>
                      <c:pt idx="9">
                        <c:v>0.83099999999999996</c:v>
                      </c:pt>
                      <c:pt idx="10">
                        <c:v>0.46</c:v>
                      </c:pt>
                      <c:pt idx="11">
                        <c:v>0.91700000000000004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813-4091-B108-F4245A7C9F61}"/>
                  </c:ext>
                </c:extLst>
              </c15:ser>
            </c15:filteredBarSeries>
            <c15:filteredB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Daten!$P$1</c15:sqref>
                        </c15:formulaRef>
                      </c:ext>
                    </c:extLst>
                    <c:strCache>
                      <c:ptCount val="1"/>
                      <c:pt idx="0">
                        <c:v>F1           (macro)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Daten!$P$2:$P$13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0.51700000000000002</c:v>
                      </c:pt>
                      <c:pt idx="1">
                        <c:v>0.55000000000000004</c:v>
                      </c:pt>
                      <c:pt idx="2">
                        <c:v>0.54100000000000004</c:v>
                      </c:pt>
                      <c:pt idx="3">
                        <c:v>0.47699999999999998</c:v>
                      </c:pt>
                      <c:pt idx="4">
                        <c:v>0.58199999999999996</c:v>
                      </c:pt>
                      <c:pt idx="5">
                        <c:v>0.48099999999999998</c:v>
                      </c:pt>
                      <c:pt idx="6">
                        <c:v>0.35499999999999998</c:v>
                      </c:pt>
                      <c:pt idx="7">
                        <c:v>0.48199999999999998</c:v>
                      </c:pt>
                      <c:pt idx="8">
                        <c:v>0.51900000000000002</c:v>
                      </c:pt>
                      <c:pt idx="9">
                        <c:v>0.49299999999999999</c:v>
                      </c:pt>
                      <c:pt idx="10">
                        <c:v>0.28699999999999998</c:v>
                      </c:pt>
                      <c:pt idx="11">
                        <c:v>0.54400000000000004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B813-4091-B108-F4245A7C9F61}"/>
                  </c:ext>
                </c:extLst>
              </c15:ser>
            </c15:filteredBarSeries>
            <c15:filteredBa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Daten!$Q$1</c15:sqref>
                        </c15:formulaRef>
                      </c:ext>
                    </c:extLst>
                    <c:strCache>
                      <c:ptCount val="1"/>
                      <c:pt idx="0">
                        <c:v>F1                 (weighted)</c:v>
                      </c:pt>
                    </c:strCache>
                  </c:strRef>
                </c:tx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Daten!$Q$2:$Q$13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0.81699999999999995</c:v>
                      </c:pt>
                      <c:pt idx="1">
                        <c:v>0.85</c:v>
                      </c:pt>
                      <c:pt idx="2">
                        <c:v>0.85499999999999998</c:v>
                      </c:pt>
                      <c:pt idx="3">
                        <c:v>0.80600000000000005</c:v>
                      </c:pt>
                      <c:pt idx="4">
                        <c:v>0.90600000000000003</c:v>
                      </c:pt>
                      <c:pt idx="5">
                        <c:v>0.78900000000000003</c:v>
                      </c:pt>
                      <c:pt idx="6">
                        <c:v>0.57899999999999996</c:v>
                      </c:pt>
                      <c:pt idx="7">
                        <c:v>0.78200000000000003</c:v>
                      </c:pt>
                      <c:pt idx="8">
                        <c:v>0.84099999999999997</c:v>
                      </c:pt>
                      <c:pt idx="9">
                        <c:v>0.8</c:v>
                      </c:pt>
                      <c:pt idx="10">
                        <c:v>0.44400000000000001</c:v>
                      </c:pt>
                      <c:pt idx="11">
                        <c:v>0.88300000000000001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B813-4091-B108-F4245A7C9F61}"/>
                  </c:ext>
                </c:extLst>
              </c15:ser>
            </c15:filteredBarSeries>
          </c:ext>
        </c:extLst>
      </c:barChart>
      <c:catAx>
        <c:axId val="110115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01152736"/>
        <c:crosses val="autoZero"/>
        <c:auto val="1"/>
        <c:lblAlgn val="ctr"/>
        <c:lblOffset val="100"/>
        <c:noMultiLvlLbl val="0"/>
      </c:catAx>
      <c:valAx>
        <c:axId val="110115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01157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Micro Prec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17"/>
          <c:order val="17"/>
          <c:tx>
            <c:strRef>
              <c:f>Daten!$S$1</c:f>
              <c:strCache>
                <c:ptCount val="1"/>
                <c:pt idx="0">
                  <c:v> Prec                 Micro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Daten!$A$2:$A$13</c:f>
              <c:strCache>
                <c:ptCount val="12"/>
                <c:pt idx="0">
                  <c:v>Grok-3</c:v>
                </c:pt>
                <c:pt idx="1">
                  <c:v>GPT5</c:v>
                </c:pt>
                <c:pt idx="2">
                  <c:v>GPT4</c:v>
                </c:pt>
                <c:pt idx="3">
                  <c:v>OSS120B</c:v>
                </c:pt>
                <c:pt idx="4">
                  <c:v>GPT o4-mini</c:v>
                </c:pt>
                <c:pt idx="5">
                  <c:v>DeepseekR1</c:v>
                </c:pt>
                <c:pt idx="6">
                  <c:v>OSS20B</c:v>
                </c:pt>
                <c:pt idx="7">
                  <c:v>Gemma27B</c:v>
                </c:pt>
                <c:pt idx="8">
                  <c:v>Mistral8B</c:v>
                </c:pt>
                <c:pt idx="9">
                  <c:v>LLama38B</c:v>
                </c:pt>
                <c:pt idx="10">
                  <c:v>Llama3DiscoLeo8B</c:v>
                </c:pt>
                <c:pt idx="11">
                  <c:v>GeminiFlashLite2.5</c:v>
                </c:pt>
              </c:strCache>
            </c:strRef>
          </c:cat>
          <c:val>
            <c:numRef>
              <c:f>Daten!$S$2:$S$13</c:f>
              <c:numCache>
                <c:formatCode>0.000</c:formatCode>
                <c:ptCount val="12"/>
                <c:pt idx="0">
                  <c:v>0.10877626699629171</c:v>
                </c:pt>
                <c:pt idx="1">
                  <c:v>0.13242009132420091</c:v>
                </c:pt>
                <c:pt idx="2">
                  <c:v>0.11960132890365449</c:v>
                </c:pt>
                <c:pt idx="3">
                  <c:v>6.734434561626429E-2</c:v>
                </c:pt>
                <c:pt idx="4">
                  <c:v>0.16339869281045752</c:v>
                </c:pt>
                <c:pt idx="5">
                  <c:v>8.185840707964602E-2</c:v>
                </c:pt>
                <c:pt idx="6">
                  <c:v>5.9237536656891493E-2</c:v>
                </c:pt>
                <c:pt idx="7">
                  <c:v>8.6680761099365747E-2</c:v>
                </c:pt>
                <c:pt idx="8">
                  <c:v>9.9540581929555894E-2</c:v>
                </c:pt>
                <c:pt idx="9">
                  <c:v>8.9327146171693739E-2</c:v>
                </c:pt>
                <c:pt idx="10">
                  <c:v>6.0093896713615022E-2</c:v>
                </c:pt>
                <c:pt idx="11">
                  <c:v>0.11435523114355231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7377-448B-A0FD-9B23F122F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1157056"/>
        <c:axId val="110115273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Daten!$B$1</c15:sqref>
                        </c15:formulaRef>
                      </c:ext>
                    </c:extLst>
                    <c:strCache>
                      <c:ptCount val="1"/>
                      <c:pt idx="0">
                        <c:v>Gesamtanzahl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Daten!$B$2:$B$13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3004</c:v>
                      </c:pt>
                      <c:pt idx="1">
                        <c:v>3004</c:v>
                      </c:pt>
                      <c:pt idx="2">
                        <c:v>3004</c:v>
                      </c:pt>
                      <c:pt idx="3">
                        <c:v>3004</c:v>
                      </c:pt>
                      <c:pt idx="4">
                        <c:v>3004</c:v>
                      </c:pt>
                      <c:pt idx="5">
                        <c:v>3004</c:v>
                      </c:pt>
                      <c:pt idx="6">
                        <c:v>3004</c:v>
                      </c:pt>
                      <c:pt idx="7">
                        <c:v>3004</c:v>
                      </c:pt>
                      <c:pt idx="8">
                        <c:v>3004</c:v>
                      </c:pt>
                      <c:pt idx="9">
                        <c:v>3004</c:v>
                      </c:pt>
                      <c:pt idx="10">
                        <c:v>3004</c:v>
                      </c:pt>
                      <c:pt idx="11">
                        <c:v>3004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7377-448B-A0FD-9B23F122F856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Daten!$C$1</c15:sqref>
                        </c15:formulaRef>
                      </c:ext>
                    </c:extLst>
                    <c:strCache>
                      <c:ptCount val="1"/>
                      <c:pt idx="0">
                        <c:v>Anzahl_Klassifikationen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Daten!$C$2:$C$13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2996</c:v>
                      </c:pt>
                      <c:pt idx="1">
                        <c:v>2990</c:v>
                      </c:pt>
                      <c:pt idx="2">
                        <c:v>2998</c:v>
                      </c:pt>
                      <c:pt idx="3">
                        <c:v>3002</c:v>
                      </c:pt>
                      <c:pt idx="4">
                        <c:v>2996</c:v>
                      </c:pt>
                      <c:pt idx="5">
                        <c:v>2998</c:v>
                      </c:pt>
                      <c:pt idx="6">
                        <c:v>2973</c:v>
                      </c:pt>
                      <c:pt idx="7">
                        <c:v>2989</c:v>
                      </c:pt>
                      <c:pt idx="8">
                        <c:v>2996</c:v>
                      </c:pt>
                      <c:pt idx="9">
                        <c:v>3002</c:v>
                      </c:pt>
                      <c:pt idx="10">
                        <c:v>2995</c:v>
                      </c:pt>
                      <c:pt idx="11">
                        <c:v>3000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377-448B-A0FD-9B23F122F856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Daten!$D$1</c15:sqref>
                        </c15:formulaRef>
                      </c:ext>
                    </c:extLst>
                    <c:strCache>
                      <c:ptCount val="1"/>
                      <c:pt idx="0">
                        <c:v>Fehlende ('-'/NaN/leer)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Daten!$D$2:$D$13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</c:v>
                      </c:pt>
                      <c:pt idx="1">
                        <c:v>14</c:v>
                      </c:pt>
                      <c:pt idx="2">
                        <c:v>6</c:v>
                      </c:pt>
                      <c:pt idx="3">
                        <c:v>2</c:v>
                      </c:pt>
                      <c:pt idx="4">
                        <c:v>8</c:v>
                      </c:pt>
                      <c:pt idx="5">
                        <c:v>6</c:v>
                      </c:pt>
                      <c:pt idx="6">
                        <c:v>31</c:v>
                      </c:pt>
                      <c:pt idx="7">
                        <c:v>15</c:v>
                      </c:pt>
                      <c:pt idx="8">
                        <c:v>8</c:v>
                      </c:pt>
                      <c:pt idx="9">
                        <c:v>2</c:v>
                      </c:pt>
                      <c:pt idx="10">
                        <c:v>9</c:v>
                      </c:pt>
                      <c:pt idx="11">
                        <c:v>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377-448B-A0FD-9B23F122F85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Daten!$E$1</c15:sqref>
                        </c15:formulaRef>
                      </c:ext>
                    </c:extLst>
                    <c:strCache>
                      <c:ptCount val="1"/>
                      <c:pt idx="0">
                        <c:v>Accuracy (bereinigt)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Daten!$E$2:$E$13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0.74299999999999999</c:v>
                      </c:pt>
                      <c:pt idx="1">
                        <c:v>0.79300000000000004</c:v>
                      </c:pt>
                      <c:pt idx="2">
                        <c:v>0.80200000000000005</c:v>
                      </c:pt>
                      <c:pt idx="3">
                        <c:v>0.72799999999999998</c:v>
                      </c:pt>
                      <c:pt idx="4">
                        <c:v>0.88600000000000001</c:v>
                      </c:pt>
                      <c:pt idx="5">
                        <c:v>0.70199999999999996</c:v>
                      </c:pt>
                      <c:pt idx="6">
                        <c:v>0.44900000000000001</c:v>
                      </c:pt>
                      <c:pt idx="7">
                        <c:v>0.69299999999999995</c:v>
                      </c:pt>
                      <c:pt idx="8">
                        <c:v>0.78</c:v>
                      </c:pt>
                      <c:pt idx="9">
                        <c:v>0.71899999999999997</c:v>
                      </c:pt>
                      <c:pt idx="10">
                        <c:v>0.32900000000000001</c:v>
                      </c:pt>
                      <c:pt idx="11">
                        <c:v>0.84899999999999998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377-448B-A0FD-9B23F122F856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Daten!$F$1</c15:sqref>
                        </c15:formulaRef>
                      </c:ext>
                    </c:extLst>
                    <c:strCache>
                      <c:ptCount val="1"/>
                      <c:pt idx="0">
                        <c:v>TP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Daten!$F$2:$F$13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88</c:v>
                      </c:pt>
                      <c:pt idx="1">
                        <c:v>87</c:v>
                      </c:pt>
                      <c:pt idx="2">
                        <c:v>72</c:v>
                      </c:pt>
                      <c:pt idx="3">
                        <c:v>53</c:v>
                      </c:pt>
                      <c:pt idx="4">
                        <c:v>50</c:v>
                      </c:pt>
                      <c:pt idx="5">
                        <c:v>74</c:v>
                      </c:pt>
                      <c:pt idx="6">
                        <c:v>101</c:v>
                      </c:pt>
                      <c:pt idx="7">
                        <c:v>82</c:v>
                      </c:pt>
                      <c:pt idx="8">
                        <c:v>65</c:v>
                      </c:pt>
                      <c:pt idx="9">
                        <c:v>77</c:v>
                      </c:pt>
                      <c:pt idx="10">
                        <c:v>128</c:v>
                      </c:pt>
                      <c:pt idx="11">
                        <c:v>47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377-448B-A0FD-9B23F122F856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Daten!$G$1</c15:sqref>
                        </c15:formulaRef>
                      </c:ext>
                    </c:extLst>
                    <c:strCache>
                      <c:ptCount val="1"/>
                      <c:pt idx="0">
                        <c:v>FP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Daten!$G$2:$G$13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721</c:v>
                      </c:pt>
                      <c:pt idx="1">
                        <c:v>570</c:v>
                      </c:pt>
                      <c:pt idx="2">
                        <c:v>530</c:v>
                      </c:pt>
                      <c:pt idx="3">
                        <c:v>734</c:v>
                      </c:pt>
                      <c:pt idx="4">
                        <c:v>256</c:v>
                      </c:pt>
                      <c:pt idx="5">
                        <c:v>830</c:v>
                      </c:pt>
                      <c:pt idx="6">
                        <c:v>1604</c:v>
                      </c:pt>
                      <c:pt idx="7">
                        <c:v>864</c:v>
                      </c:pt>
                      <c:pt idx="8">
                        <c:v>588</c:v>
                      </c:pt>
                      <c:pt idx="9">
                        <c:v>785</c:v>
                      </c:pt>
                      <c:pt idx="10">
                        <c:v>2002</c:v>
                      </c:pt>
                      <c:pt idx="11">
                        <c:v>364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377-448B-A0FD-9B23F122F85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Daten!$H$1</c15:sqref>
                        </c15:formulaRef>
                      </c:ext>
                    </c:extLst>
                    <c:strCache>
                      <c:ptCount val="1"/>
                      <c:pt idx="0">
                        <c:v>FN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Daten!$H$2:$H$13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49</c:v>
                      </c:pt>
                      <c:pt idx="1">
                        <c:v>50</c:v>
                      </c:pt>
                      <c:pt idx="2">
                        <c:v>65</c:v>
                      </c:pt>
                      <c:pt idx="3">
                        <c:v>83</c:v>
                      </c:pt>
                      <c:pt idx="4">
                        <c:v>86</c:v>
                      </c:pt>
                      <c:pt idx="5">
                        <c:v>63</c:v>
                      </c:pt>
                      <c:pt idx="6">
                        <c:v>34</c:v>
                      </c:pt>
                      <c:pt idx="7">
                        <c:v>54</c:v>
                      </c:pt>
                      <c:pt idx="8">
                        <c:v>71</c:v>
                      </c:pt>
                      <c:pt idx="9">
                        <c:v>60</c:v>
                      </c:pt>
                      <c:pt idx="10">
                        <c:v>8</c:v>
                      </c:pt>
                      <c:pt idx="11">
                        <c:v>90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377-448B-A0FD-9B23F122F856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Daten!$I$1</c15:sqref>
                        </c15:formulaRef>
                      </c:ext>
                    </c:extLst>
                    <c:strCache>
                      <c:ptCount val="1"/>
                      <c:pt idx="0">
                        <c:v>TN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Daten!$I$2:$I$13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2138</c:v>
                      </c:pt>
                      <c:pt idx="1">
                        <c:v>2283</c:v>
                      </c:pt>
                      <c:pt idx="2">
                        <c:v>2331</c:v>
                      </c:pt>
                      <c:pt idx="3">
                        <c:v>2132</c:v>
                      </c:pt>
                      <c:pt idx="4">
                        <c:v>2604</c:v>
                      </c:pt>
                      <c:pt idx="5">
                        <c:v>2031</c:v>
                      </c:pt>
                      <c:pt idx="6">
                        <c:v>1234</c:v>
                      </c:pt>
                      <c:pt idx="7">
                        <c:v>1989</c:v>
                      </c:pt>
                      <c:pt idx="8">
                        <c:v>2272</c:v>
                      </c:pt>
                      <c:pt idx="9">
                        <c:v>2080</c:v>
                      </c:pt>
                      <c:pt idx="10">
                        <c:v>857</c:v>
                      </c:pt>
                      <c:pt idx="11">
                        <c:v>2499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7377-448B-A0FD-9B23F122F856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Daten!$J$1</c15:sqref>
                        </c15:formulaRef>
                      </c:ext>
                    </c:extLst>
                    <c:strCache>
                      <c:ptCount val="1"/>
                      <c:pt idx="0">
                        <c:v>Precision      (Unwirksam)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Daten!$J$2:$J$13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0.109</c:v>
                      </c:pt>
                      <c:pt idx="1">
                        <c:v>0.13200000000000001</c:v>
                      </c:pt>
                      <c:pt idx="2">
                        <c:v>0.12</c:v>
                      </c:pt>
                      <c:pt idx="3">
                        <c:v>6.7000000000000004E-2</c:v>
                      </c:pt>
                      <c:pt idx="4">
                        <c:v>0.16300000000000001</c:v>
                      </c:pt>
                      <c:pt idx="5">
                        <c:v>8.2000000000000003E-2</c:v>
                      </c:pt>
                      <c:pt idx="6">
                        <c:v>5.8999999999999997E-2</c:v>
                      </c:pt>
                      <c:pt idx="7">
                        <c:v>8.6999999999999994E-2</c:v>
                      </c:pt>
                      <c:pt idx="8">
                        <c:v>0.1</c:v>
                      </c:pt>
                      <c:pt idx="9">
                        <c:v>8.8999999999999996E-2</c:v>
                      </c:pt>
                      <c:pt idx="10">
                        <c:v>0.06</c:v>
                      </c:pt>
                      <c:pt idx="11">
                        <c:v>0.114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7377-448B-A0FD-9B23F122F856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Daten!$K$1</c15:sqref>
                        </c15:formulaRef>
                      </c:ext>
                    </c:extLst>
                    <c:strCache>
                      <c:ptCount val="1"/>
                      <c:pt idx="0">
                        <c:v>Recall      (Unwirksam)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Daten!$K$2:$K$13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0.64200000000000002</c:v>
                      </c:pt>
                      <c:pt idx="1">
                        <c:v>0.63500000000000001</c:v>
                      </c:pt>
                      <c:pt idx="2">
                        <c:v>0.52600000000000002</c:v>
                      </c:pt>
                      <c:pt idx="3">
                        <c:v>0.39</c:v>
                      </c:pt>
                      <c:pt idx="4">
                        <c:v>0.36799999999999999</c:v>
                      </c:pt>
                      <c:pt idx="5">
                        <c:v>0.54</c:v>
                      </c:pt>
                      <c:pt idx="6">
                        <c:v>0.748</c:v>
                      </c:pt>
                      <c:pt idx="7">
                        <c:v>0.60299999999999998</c:v>
                      </c:pt>
                      <c:pt idx="8">
                        <c:v>0.47799999999999998</c:v>
                      </c:pt>
                      <c:pt idx="9">
                        <c:v>0.56200000000000006</c:v>
                      </c:pt>
                      <c:pt idx="10">
                        <c:v>0.94099999999999995</c:v>
                      </c:pt>
                      <c:pt idx="11">
                        <c:v>0.34300000000000003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7377-448B-A0FD-9B23F122F856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Daten!$L$1</c15:sqref>
                        </c15:formulaRef>
                      </c:ext>
                    </c:extLst>
                    <c:strCache>
                      <c:ptCount val="1"/>
                      <c:pt idx="0">
                        <c:v>F1      (Unwirksam)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Daten!$L$2:$L$13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0.186</c:v>
                      </c:pt>
                      <c:pt idx="1">
                        <c:v>0.219</c:v>
                      </c:pt>
                      <c:pt idx="2">
                        <c:v>0.19500000000000001</c:v>
                      </c:pt>
                      <c:pt idx="3">
                        <c:v>0.115</c:v>
                      </c:pt>
                      <c:pt idx="4">
                        <c:v>0.22600000000000001</c:v>
                      </c:pt>
                      <c:pt idx="5">
                        <c:v>0.14199999999999999</c:v>
                      </c:pt>
                      <c:pt idx="6">
                        <c:v>0.11</c:v>
                      </c:pt>
                      <c:pt idx="7">
                        <c:v>0.152</c:v>
                      </c:pt>
                      <c:pt idx="8">
                        <c:v>0.16500000000000001</c:v>
                      </c:pt>
                      <c:pt idx="9">
                        <c:v>0.154</c:v>
                      </c:pt>
                      <c:pt idx="10">
                        <c:v>0.113</c:v>
                      </c:pt>
                      <c:pt idx="11">
                        <c:v>0.17199999999999999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7377-448B-A0FD-9B23F122F856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Daten!$M$1</c15:sqref>
                        </c15:formulaRef>
                      </c:ext>
                    </c:extLst>
                    <c:strCache>
                      <c:ptCount val="1"/>
                      <c:pt idx="0">
                        <c:v>Precision      (Wirksam)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Daten!$M$2:$M$13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0.97799999999999998</c:v>
                      </c:pt>
                      <c:pt idx="1">
                        <c:v>0.97899999999999998</c:v>
                      </c:pt>
                      <c:pt idx="2">
                        <c:v>0.97299999999999998</c:v>
                      </c:pt>
                      <c:pt idx="3">
                        <c:v>0.96299999999999997</c:v>
                      </c:pt>
                      <c:pt idx="4">
                        <c:v>0.96799999999999997</c:v>
                      </c:pt>
                      <c:pt idx="5">
                        <c:v>0.97</c:v>
                      </c:pt>
                      <c:pt idx="6">
                        <c:v>0.97299999999999998</c:v>
                      </c:pt>
                      <c:pt idx="7">
                        <c:v>0.97399999999999998</c:v>
                      </c:pt>
                      <c:pt idx="8">
                        <c:v>0.97</c:v>
                      </c:pt>
                      <c:pt idx="9">
                        <c:v>0.97199999999999998</c:v>
                      </c:pt>
                      <c:pt idx="10">
                        <c:v>0.99099999999999999</c:v>
                      </c:pt>
                      <c:pt idx="11">
                        <c:v>0.96499999999999997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7377-448B-A0FD-9B23F122F856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Daten!$N$1</c15:sqref>
                        </c15:formulaRef>
                      </c:ext>
                    </c:extLst>
                    <c:strCache>
                      <c:ptCount val="1"/>
                      <c:pt idx="0">
                        <c:v>Recall (Wirksam)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Daten!$N$2:$N$13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0.748</c:v>
                      </c:pt>
                      <c:pt idx="1">
                        <c:v>0.8</c:v>
                      </c:pt>
                      <c:pt idx="2">
                        <c:v>0.81499999999999995</c:v>
                      </c:pt>
                      <c:pt idx="3">
                        <c:v>0.74399999999999999</c:v>
                      </c:pt>
                      <c:pt idx="4">
                        <c:v>0.91</c:v>
                      </c:pt>
                      <c:pt idx="5">
                        <c:v>0.71</c:v>
                      </c:pt>
                      <c:pt idx="6">
                        <c:v>0.435</c:v>
                      </c:pt>
                      <c:pt idx="7">
                        <c:v>0.69699999999999995</c:v>
                      </c:pt>
                      <c:pt idx="8">
                        <c:v>0.79400000000000004</c:v>
                      </c:pt>
                      <c:pt idx="9">
                        <c:v>0.72599999999999998</c:v>
                      </c:pt>
                      <c:pt idx="10">
                        <c:v>0.3</c:v>
                      </c:pt>
                      <c:pt idx="11">
                        <c:v>0.873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7377-448B-A0FD-9B23F122F856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Daten!$O$1</c15:sqref>
                        </c15:formulaRef>
                      </c:ext>
                    </c:extLst>
                    <c:strCache>
                      <c:ptCount val="1"/>
                      <c:pt idx="0">
                        <c:v>F1                           (Wirksam)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Daten!$O$2:$O$13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0.84699999999999998</c:v>
                      </c:pt>
                      <c:pt idx="1">
                        <c:v>0.88</c:v>
                      </c:pt>
                      <c:pt idx="2">
                        <c:v>0.88700000000000001</c:v>
                      </c:pt>
                      <c:pt idx="3">
                        <c:v>0.83899999999999997</c:v>
                      </c:pt>
                      <c:pt idx="4">
                        <c:v>0.93799999999999994</c:v>
                      </c:pt>
                      <c:pt idx="5">
                        <c:v>0.82</c:v>
                      </c:pt>
                      <c:pt idx="6">
                        <c:v>0.60099999999999998</c:v>
                      </c:pt>
                      <c:pt idx="7">
                        <c:v>0.81200000000000006</c:v>
                      </c:pt>
                      <c:pt idx="8">
                        <c:v>0.873</c:v>
                      </c:pt>
                      <c:pt idx="9">
                        <c:v>0.83099999999999996</c:v>
                      </c:pt>
                      <c:pt idx="10">
                        <c:v>0.46</c:v>
                      </c:pt>
                      <c:pt idx="11">
                        <c:v>0.91700000000000004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7377-448B-A0FD-9B23F122F856}"/>
                  </c:ext>
                </c:extLst>
              </c15:ser>
            </c15:filteredBarSeries>
            <c15:filteredB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Daten!$P$1</c15:sqref>
                        </c15:formulaRef>
                      </c:ext>
                    </c:extLst>
                    <c:strCache>
                      <c:ptCount val="1"/>
                      <c:pt idx="0">
                        <c:v>F1           (macro)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Daten!$P$2:$P$13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0.51700000000000002</c:v>
                      </c:pt>
                      <c:pt idx="1">
                        <c:v>0.55000000000000004</c:v>
                      </c:pt>
                      <c:pt idx="2">
                        <c:v>0.54100000000000004</c:v>
                      </c:pt>
                      <c:pt idx="3">
                        <c:v>0.47699999999999998</c:v>
                      </c:pt>
                      <c:pt idx="4">
                        <c:v>0.58199999999999996</c:v>
                      </c:pt>
                      <c:pt idx="5">
                        <c:v>0.48099999999999998</c:v>
                      </c:pt>
                      <c:pt idx="6">
                        <c:v>0.35499999999999998</c:v>
                      </c:pt>
                      <c:pt idx="7">
                        <c:v>0.48199999999999998</c:v>
                      </c:pt>
                      <c:pt idx="8">
                        <c:v>0.51900000000000002</c:v>
                      </c:pt>
                      <c:pt idx="9">
                        <c:v>0.49299999999999999</c:v>
                      </c:pt>
                      <c:pt idx="10">
                        <c:v>0.28699999999999998</c:v>
                      </c:pt>
                      <c:pt idx="11">
                        <c:v>0.54400000000000004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7377-448B-A0FD-9B23F122F856}"/>
                  </c:ext>
                </c:extLst>
              </c15:ser>
            </c15:filteredBarSeries>
            <c15:filteredBa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Daten!$Q$1</c15:sqref>
                        </c15:formulaRef>
                      </c:ext>
                    </c:extLst>
                    <c:strCache>
                      <c:ptCount val="1"/>
                      <c:pt idx="0">
                        <c:v>F1                 (weighted)</c:v>
                      </c:pt>
                    </c:strCache>
                  </c:strRef>
                </c:tx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Daten!$Q$2:$Q$13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0.81699999999999995</c:v>
                      </c:pt>
                      <c:pt idx="1">
                        <c:v>0.85</c:v>
                      </c:pt>
                      <c:pt idx="2">
                        <c:v>0.85499999999999998</c:v>
                      </c:pt>
                      <c:pt idx="3">
                        <c:v>0.80600000000000005</c:v>
                      </c:pt>
                      <c:pt idx="4">
                        <c:v>0.90600000000000003</c:v>
                      </c:pt>
                      <c:pt idx="5">
                        <c:v>0.78900000000000003</c:v>
                      </c:pt>
                      <c:pt idx="6">
                        <c:v>0.57899999999999996</c:v>
                      </c:pt>
                      <c:pt idx="7">
                        <c:v>0.78200000000000003</c:v>
                      </c:pt>
                      <c:pt idx="8">
                        <c:v>0.84099999999999997</c:v>
                      </c:pt>
                      <c:pt idx="9">
                        <c:v>0.8</c:v>
                      </c:pt>
                      <c:pt idx="10">
                        <c:v>0.44400000000000001</c:v>
                      </c:pt>
                      <c:pt idx="11">
                        <c:v>0.88300000000000001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7377-448B-A0FD-9B23F122F856}"/>
                  </c:ext>
                </c:extLst>
              </c15:ser>
            </c15:filteredBarSeries>
            <c15:filteredBa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Daten!$R$1</c15:sqref>
                        </c15:formulaRef>
                      </c:ext>
                    </c:extLst>
                    <c:strCache>
                      <c:ptCount val="1"/>
                      <c:pt idx="0">
                        <c:v>Precision       Macro</c:v>
                      </c:pt>
                    </c:strCache>
                  </c:strRef>
                </c:tx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Daten!$R$2:$R$13</c15:sqref>
                        </c15:formulaRef>
                      </c:ext>
                    </c:extLst>
                    <c:numCache>
                      <c:formatCode>0.000</c:formatCode>
                      <c:ptCount val="12"/>
                      <c:pt idx="0">
                        <c:v>0.54349999999999998</c:v>
                      </c:pt>
                      <c:pt idx="1">
                        <c:v>0.55549999999999999</c:v>
                      </c:pt>
                      <c:pt idx="2">
                        <c:v>0.54649999999999999</c:v>
                      </c:pt>
                      <c:pt idx="3">
                        <c:v>0.51500000000000001</c:v>
                      </c:pt>
                      <c:pt idx="4">
                        <c:v>0.5655</c:v>
                      </c:pt>
                      <c:pt idx="5">
                        <c:v>0.52600000000000002</c:v>
                      </c:pt>
                      <c:pt idx="6">
                        <c:v>0.51600000000000001</c:v>
                      </c:pt>
                      <c:pt idx="7">
                        <c:v>0.53049999999999997</c:v>
                      </c:pt>
                      <c:pt idx="8">
                        <c:v>0.53500000000000003</c:v>
                      </c:pt>
                      <c:pt idx="9">
                        <c:v>0.53049999999999997</c:v>
                      </c:pt>
                      <c:pt idx="10">
                        <c:v>0.52549999999999997</c:v>
                      </c:pt>
                      <c:pt idx="11">
                        <c:v>0.53949999999999998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7377-448B-A0FD-9B23F122F856}"/>
                  </c:ext>
                </c:extLst>
              </c15:ser>
            </c15:filteredBarSeries>
          </c:ext>
        </c:extLst>
      </c:barChart>
      <c:catAx>
        <c:axId val="110115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01152736"/>
        <c:crosses val="autoZero"/>
        <c:auto val="1"/>
        <c:lblAlgn val="ctr"/>
        <c:lblOffset val="100"/>
        <c:noMultiLvlLbl val="0"/>
      </c:catAx>
      <c:valAx>
        <c:axId val="110115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01157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Rec unwirksam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9"/>
          <c:order val="9"/>
          <c:tx>
            <c:strRef>
              <c:f>Daten!$K$1</c:f>
              <c:strCache>
                <c:ptCount val="1"/>
                <c:pt idx="0">
                  <c:v>Recall      (Unwirksam)</c:v>
                </c:pt>
              </c:strCache>
              <c:extLst xmlns:c15="http://schemas.microsoft.com/office/drawing/2012/chart"/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Daten!$A$2:$A$13</c:f>
              <c:strCache>
                <c:ptCount val="12"/>
                <c:pt idx="0">
                  <c:v>Grok-3</c:v>
                </c:pt>
                <c:pt idx="1">
                  <c:v>GPT5</c:v>
                </c:pt>
                <c:pt idx="2">
                  <c:v>GPT4</c:v>
                </c:pt>
                <c:pt idx="3">
                  <c:v>OSS120B</c:v>
                </c:pt>
                <c:pt idx="4">
                  <c:v>GPT o4-mini</c:v>
                </c:pt>
                <c:pt idx="5">
                  <c:v>DeepseekR1</c:v>
                </c:pt>
                <c:pt idx="6">
                  <c:v>OSS20B</c:v>
                </c:pt>
                <c:pt idx="7">
                  <c:v>Gemma27B</c:v>
                </c:pt>
                <c:pt idx="8">
                  <c:v>Mistral8B</c:v>
                </c:pt>
                <c:pt idx="9">
                  <c:v>LLama38B</c:v>
                </c:pt>
                <c:pt idx="10">
                  <c:v>Llama3DiscoLeo8B</c:v>
                </c:pt>
                <c:pt idx="11">
                  <c:v>GeminiFlashLite2.5</c:v>
                </c:pt>
              </c:strCache>
              <c:extLst xmlns:c15="http://schemas.microsoft.com/office/drawing/2012/chart"/>
            </c:strRef>
          </c:cat>
          <c:val>
            <c:numRef>
              <c:f>Daten!$K$2:$K$13</c:f>
              <c:numCache>
                <c:formatCode>General</c:formatCode>
                <c:ptCount val="12"/>
                <c:pt idx="0">
                  <c:v>0.64200000000000002</c:v>
                </c:pt>
                <c:pt idx="1">
                  <c:v>0.63500000000000001</c:v>
                </c:pt>
                <c:pt idx="2">
                  <c:v>0.52600000000000002</c:v>
                </c:pt>
                <c:pt idx="3">
                  <c:v>0.39</c:v>
                </c:pt>
                <c:pt idx="4">
                  <c:v>0.36799999999999999</c:v>
                </c:pt>
                <c:pt idx="5">
                  <c:v>0.54</c:v>
                </c:pt>
                <c:pt idx="6">
                  <c:v>0.748</c:v>
                </c:pt>
                <c:pt idx="7">
                  <c:v>0.60299999999999998</c:v>
                </c:pt>
                <c:pt idx="8">
                  <c:v>0.47799999999999998</c:v>
                </c:pt>
                <c:pt idx="9">
                  <c:v>0.56200000000000006</c:v>
                </c:pt>
                <c:pt idx="10">
                  <c:v>0.94099999999999995</c:v>
                </c:pt>
                <c:pt idx="11">
                  <c:v>0.34300000000000003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1-6B2C-4B83-819F-FC13A8C34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1157056"/>
        <c:axId val="110115273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Daten!$B$1</c15:sqref>
                        </c15:formulaRef>
                      </c:ext>
                    </c:extLst>
                    <c:strCache>
                      <c:ptCount val="1"/>
                      <c:pt idx="0">
                        <c:v>Gesamtanzahl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Daten!$B$2:$B$13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3004</c:v>
                      </c:pt>
                      <c:pt idx="1">
                        <c:v>3004</c:v>
                      </c:pt>
                      <c:pt idx="2">
                        <c:v>3004</c:v>
                      </c:pt>
                      <c:pt idx="3">
                        <c:v>3004</c:v>
                      </c:pt>
                      <c:pt idx="4">
                        <c:v>3004</c:v>
                      </c:pt>
                      <c:pt idx="5">
                        <c:v>3004</c:v>
                      </c:pt>
                      <c:pt idx="6">
                        <c:v>3004</c:v>
                      </c:pt>
                      <c:pt idx="7">
                        <c:v>3004</c:v>
                      </c:pt>
                      <c:pt idx="8">
                        <c:v>3004</c:v>
                      </c:pt>
                      <c:pt idx="9">
                        <c:v>3004</c:v>
                      </c:pt>
                      <c:pt idx="10">
                        <c:v>3004</c:v>
                      </c:pt>
                      <c:pt idx="11">
                        <c:v>3004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6B2C-4B83-819F-FC13A8C349F5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Daten!$C$1</c15:sqref>
                        </c15:formulaRef>
                      </c:ext>
                    </c:extLst>
                    <c:strCache>
                      <c:ptCount val="1"/>
                      <c:pt idx="0">
                        <c:v>Anzahl_Klassifikationen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Daten!$C$2:$C$13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2996</c:v>
                      </c:pt>
                      <c:pt idx="1">
                        <c:v>2990</c:v>
                      </c:pt>
                      <c:pt idx="2">
                        <c:v>2998</c:v>
                      </c:pt>
                      <c:pt idx="3">
                        <c:v>3002</c:v>
                      </c:pt>
                      <c:pt idx="4">
                        <c:v>2996</c:v>
                      </c:pt>
                      <c:pt idx="5">
                        <c:v>2998</c:v>
                      </c:pt>
                      <c:pt idx="6">
                        <c:v>2973</c:v>
                      </c:pt>
                      <c:pt idx="7">
                        <c:v>2989</c:v>
                      </c:pt>
                      <c:pt idx="8">
                        <c:v>2996</c:v>
                      </c:pt>
                      <c:pt idx="9">
                        <c:v>3002</c:v>
                      </c:pt>
                      <c:pt idx="10">
                        <c:v>2995</c:v>
                      </c:pt>
                      <c:pt idx="11">
                        <c:v>3000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B2C-4B83-819F-FC13A8C349F5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Daten!$D$1</c15:sqref>
                        </c15:formulaRef>
                      </c:ext>
                    </c:extLst>
                    <c:strCache>
                      <c:ptCount val="1"/>
                      <c:pt idx="0">
                        <c:v>Fehlende ('-'/NaN/leer)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Daten!$D$2:$D$13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</c:v>
                      </c:pt>
                      <c:pt idx="1">
                        <c:v>14</c:v>
                      </c:pt>
                      <c:pt idx="2">
                        <c:v>6</c:v>
                      </c:pt>
                      <c:pt idx="3">
                        <c:v>2</c:v>
                      </c:pt>
                      <c:pt idx="4">
                        <c:v>8</c:v>
                      </c:pt>
                      <c:pt idx="5">
                        <c:v>6</c:v>
                      </c:pt>
                      <c:pt idx="6">
                        <c:v>31</c:v>
                      </c:pt>
                      <c:pt idx="7">
                        <c:v>15</c:v>
                      </c:pt>
                      <c:pt idx="8">
                        <c:v>8</c:v>
                      </c:pt>
                      <c:pt idx="9">
                        <c:v>2</c:v>
                      </c:pt>
                      <c:pt idx="10">
                        <c:v>9</c:v>
                      </c:pt>
                      <c:pt idx="11">
                        <c:v>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B2C-4B83-819F-FC13A8C349F5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Daten!$E$1</c15:sqref>
                        </c15:formulaRef>
                      </c:ext>
                    </c:extLst>
                    <c:strCache>
                      <c:ptCount val="1"/>
                      <c:pt idx="0">
                        <c:v>Accuracy (bereinigt)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Daten!$E$2:$E$13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0.74299999999999999</c:v>
                      </c:pt>
                      <c:pt idx="1">
                        <c:v>0.79300000000000004</c:v>
                      </c:pt>
                      <c:pt idx="2">
                        <c:v>0.80200000000000005</c:v>
                      </c:pt>
                      <c:pt idx="3">
                        <c:v>0.72799999999999998</c:v>
                      </c:pt>
                      <c:pt idx="4">
                        <c:v>0.88600000000000001</c:v>
                      </c:pt>
                      <c:pt idx="5">
                        <c:v>0.70199999999999996</c:v>
                      </c:pt>
                      <c:pt idx="6">
                        <c:v>0.44900000000000001</c:v>
                      </c:pt>
                      <c:pt idx="7">
                        <c:v>0.69299999999999995</c:v>
                      </c:pt>
                      <c:pt idx="8">
                        <c:v>0.78</c:v>
                      </c:pt>
                      <c:pt idx="9">
                        <c:v>0.71899999999999997</c:v>
                      </c:pt>
                      <c:pt idx="10">
                        <c:v>0.32900000000000001</c:v>
                      </c:pt>
                      <c:pt idx="11">
                        <c:v>0.84899999999999998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B2C-4B83-819F-FC13A8C349F5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Daten!$F$1</c15:sqref>
                        </c15:formulaRef>
                      </c:ext>
                    </c:extLst>
                    <c:strCache>
                      <c:ptCount val="1"/>
                      <c:pt idx="0">
                        <c:v>TP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Daten!$F$2:$F$13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88</c:v>
                      </c:pt>
                      <c:pt idx="1">
                        <c:v>87</c:v>
                      </c:pt>
                      <c:pt idx="2">
                        <c:v>72</c:v>
                      </c:pt>
                      <c:pt idx="3">
                        <c:v>53</c:v>
                      </c:pt>
                      <c:pt idx="4">
                        <c:v>50</c:v>
                      </c:pt>
                      <c:pt idx="5">
                        <c:v>74</c:v>
                      </c:pt>
                      <c:pt idx="6">
                        <c:v>101</c:v>
                      </c:pt>
                      <c:pt idx="7">
                        <c:v>82</c:v>
                      </c:pt>
                      <c:pt idx="8">
                        <c:v>65</c:v>
                      </c:pt>
                      <c:pt idx="9">
                        <c:v>77</c:v>
                      </c:pt>
                      <c:pt idx="10">
                        <c:v>128</c:v>
                      </c:pt>
                      <c:pt idx="11">
                        <c:v>47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B2C-4B83-819F-FC13A8C349F5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Daten!$G$1</c15:sqref>
                        </c15:formulaRef>
                      </c:ext>
                    </c:extLst>
                    <c:strCache>
                      <c:ptCount val="1"/>
                      <c:pt idx="0">
                        <c:v>FP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Daten!$G$2:$G$13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721</c:v>
                      </c:pt>
                      <c:pt idx="1">
                        <c:v>570</c:v>
                      </c:pt>
                      <c:pt idx="2">
                        <c:v>530</c:v>
                      </c:pt>
                      <c:pt idx="3">
                        <c:v>734</c:v>
                      </c:pt>
                      <c:pt idx="4">
                        <c:v>256</c:v>
                      </c:pt>
                      <c:pt idx="5">
                        <c:v>830</c:v>
                      </c:pt>
                      <c:pt idx="6">
                        <c:v>1604</c:v>
                      </c:pt>
                      <c:pt idx="7">
                        <c:v>864</c:v>
                      </c:pt>
                      <c:pt idx="8">
                        <c:v>588</c:v>
                      </c:pt>
                      <c:pt idx="9">
                        <c:v>785</c:v>
                      </c:pt>
                      <c:pt idx="10">
                        <c:v>2002</c:v>
                      </c:pt>
                      <c:pt idx="11">
                        <c:v>364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6B2C-4B83-819F-FC13A8C349F5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Daten!$H$1</c15:sqref>
                        </c15:formulaRef>
                      </c:ext>
                    </c:extLst>
                    <c:strCache>
                      <c:ptCount val="1"/>
                      <c:pt idx="0">
                        <c:v>FN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Daten!$H$2:$H$13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49</c:v>
                      </c:pt>
                      <c:pt idx="1">
                        <c:v>50</c:v>
                      </c:pt>
                      <c:pt idx="2">
                        <c:v>65</c:v>
                      </c:pt>
                      <c:pt idx="3">
                        <c:v>83</c:v>
                      </c:pt>
                      <c:pt idx="4">
                        <c:v>86</c:v>
                      </c:pt>
                      <c:pt idx="5">
                        <c:v>63</c:v>
                      </c:pt>
                      <c:pt idx="6">
                        <c:v>34</c:v>
                      </c:pt>
                      <c:pt idx="7">
                        <c:v>54</c:v>
                      </c:pt>
                      <c:pt idx="8">
                        <c:v>71</c:v>
                      </c:pt>
                      <c:pt idx="9">
                        <c:v>60</c:v>
                      </c:pt>
                      <c:pt idx="10">
                        <c:v>8</c:v>
                      </c:pt>
                      <c:pt idx="11">
                        <c:v>90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6B2C-4B83-819F-FC13A8C349F5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Daten!$I$1</c15:sqref>
                        </c15:formulaRef>
                      </c:ext>
                    </c:extLst>
                    <c:strCache>
                      <c:ptCount val="1"/>
                      <c:pt idx="0">
                        <c:v>TN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Daten!$I$2:$I$13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2138</c:v>
                      </c:pt>
                      <c:pt idx="1">
                        <c:v>2283</c:v>
                      </c:pt>
                      <c:pt idx="2">
                        <c:v>2331</c:v>
                      </c:pt>
                      <c:pt idx="3">
                        <c:v>2132</c:v>
                      </c:pt>
                      <c:pt idx="4">
                        <c:v>2604</c:v>
                      </c:pt>
                      <c:pt idx="5">
                        <c:v>2031</c:v>
                      </c:pt>
                      <c:pt idx="6">
                        <c:v>1234</c:v>
                      </c:pt>
                      <c:pt idx="7">
                        <c:v>1989</c:v>
                      </c:pt>
                      <c:pt idx="8">
                        <c:v>2272</c:v>
                      </c:pt>
                      <c:pt idx="9">
                        <c:v>2080</c:v>
                      </c:pt>
                      <c:pt idx="10">
                        <c:v>857</c:v>
                      </c:pt>
                      <c:pt idx="11">
                        <c:v>2499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6B2C-4B83-819F-FC13A8C349F5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Daten!$J$1</c15:sqref>
                        </c15:formulaRef>
                      </c:ext>
                    </c:extLst>
                    <c:strCache>
                      <c:ptCount val="1"/>
                      <c:pt idx="0">
                        <c:v>Precision      (Unwirksam)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Daten!$J$2:$J$13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0.109</c:v>
                      </c:pt>
                      <c:pt idx="1">
                        <c:v>0.13200000000000001</c:v>
                      </c:pt>
                      <c:pt idx="2">
                        <c:v>0.12</c:v>
                      </c:pt>
                      <c:pt idx="3">
                        <c:v>6.7000000000000004E-2</c:v>
                      </c:pt>
                      <c:pt idx="4">
                        <c:v>0.16300000000000001</c:v>
                      </c:pt>
                      <c:pt idx="5">
                        <c:v>8.2000000000000003E-2</c:v>
                      </c:pt>
                      <c:pt idx="6">
                        <c:v>5.8999999999999997E-2</c:v>
                      </c:pt>
                      <c:pt idx="7">
                        <c:v>8.6999999999999994E-2</c:v>
                      </c:pt>
                      <c:pt idx="8">
                        <c:v>0.1</c:v>
                      </c:pt>
                      <c:pt idx="9">
                        <c:v>8.8999999999999996E-2</c:v>
                      </c:pt>
                      <c:pt idx="10">
                        <c:v>0.06</c:v>
                      </c:pt>
                      <c:pt idx="11">
                        <c:v>0.114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6B2C-4B83-819F-FC13A8C349F5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Daten!$L$1</c15:sqref>
                        </c15:formulaRef>
                      </c:ext>
                    </c:extLst>
                    <c:strCache>
                      <c:ptCount val="1"/>
                      <c:pt idx="0">
                        <c:v>F1      (Unwirksam)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Daten!$L$2:$L$13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0.186</c:v>
                      </c:pt>
                      <c:pt idx="1">
                        <c:v>0.219</c:v>
                      </c:pt>
                      <c:pt idx="2">
                        <c:v>0.19500000000000001</c:v>
                      </c:pt>
                      <c:pt idx="3">
                        <c:v>0.115</c:v>
                      </c:pt>
                      <c:pt idx="4">
                        <c:v>0.22600000000000001</c:v>
                      </c:pt>
                      <c:pt idx="5">
                        <c:v>0.14199999999999999</c:v>
                      </c:pt>
                      <c:pt idx="6">
                        <c:v>0.11</c:v>
                      </c:pt>
                      <c:pt idx="7">
                        <c:v>0.152</c:v>
                      </c:pt>
                      <c:pt idx="8">
                        <c:v>0.16500000000000001</c:v>
                      </c:pt>
                      <c:pt idx="9">
                        <c:v>0.154</c:v>
                      </c:pt>
                      <c:pt idx="10">
                        <c:v>0.113</c:v>
                      </c:pt>
                      <c:pt idx="11">
                        <c:v>0.17199999999999999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B2C-4B83-819F-FC13A8C349F5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Daten!$M$1</c15:sqref>
                        </c15:formulaRef>
                      </c:ext>
                    </c:extLst>
                    <c:strCache>
                      <c:ptCount val="1"/>
                      <c:pt idx="0">
                        <c:v>Precision      (Wirksam)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Daten!$M$2:$M$13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0.97799999999999998</c:v>
                      </c:pt>
                      <c:pt idx="1">
                        <c:v>0.97899999999999998</c:v>
                      </c:pt>
                      <c:pt idx="2">
                        <c:v>0.97299999999999998</c:v>
                      </c:pt>
                      <c:pt idx="3">
                        <c:v>0.96299999999999997</c:v>
                      </c:pt>
                      <c:pt idx="4">
                        <c:v>0.96799999999999997</c:v>
                      </c:pt>
                      <c:pt idx="5">
                        <c:v>0.97</c:v>
                      </c:pt>
                      <c:pt idx="6">
                        <c:v>0.97299999999999998</c:v>
                      </c:pt>
                      <c:pt idx="7">
                        <c:v>0.97399999999999998</c:v>
                      </c:pt>
                      <c:pt idx="8">
                        <c:v>0.97</c:v>
                      </c:pt>
                      <c:pt idx="9">
                        <c:v>0.97199999999999998</c:v>
                      </c:pt>
                      <c:pt idx="10">
                        <c:v>0.99099999999999999</c:v>
                      </c:pt>
                      <c:pt idx="11">
                        <c:v>0.96499999999999997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6B2C-4B83-819F-FC13A8C349F5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Daten!$N$1</c15:sqref>
                        </c15:formulaRef>
                      </c:ext>
                    </c:extLst>
                    <c:strCache>
                      <c:ptCount val="1"/>
                      <c:pt idx="0">
                        <c:v>Recall (Wirksam)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Daten!$N$2:$N$13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0.748</c:v>
                      </c:pt>
                      <c:pt idx="1">
                        <c:v>0.8</c:v>
                      </c:pt>
                      <c:pt idx="2">
                        <c:v>0.81499999999999995</c:v>
                      </c:pt>
                      <c:pt idx="3">
                        <c:v>0.74399999999999999</c:v>
                      </c:pt>
                      <c:pt idx="4">
                        <c:v>0.91</c:v>
                      </c:pt>
                      <c:pt idx="5">
                        <c:v>0.71</c:v>
                      </c:pt>
                      <c:pt idx="6">
                        <c:v>0.435</c:v>
                      </c:pt>
                      <c:pt idx="7">
                        <c:v>0.69699999999999995</c:v>
                      </c:pt>
                      <c:pt idx="8">
                        <c:v>0.79400000000000004</c:v>
                      </c:pt>
                      <c:pt idx="9">
                        <c:v>0.72599999999999998</c:v>
                      </c:pt>
                      <c:pt idx="10">
                        <c:v>0.3</c:v>
                      </c:pt>
                      <c:pt idx="11">
                        <c:v>0.873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6B2C-4B83-819F-FC13A8C349F5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Daten!$O$1</c15:sqref>
                        </c15:formulaRef>
                      </c:ext>
                    </c:extLst>
                    <c:strCache>
                      <c:ptCount val="1"/>
                      <c:pt idx="0">
                        <c:v>F1                           (Wirksam)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Daten!$O$2:$O$13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0.84699999999999998</c:v>
                      </c:pt>
                      <c:pt idx="1">
                        <c:v>0.88</c:v>
                      </c:pt>
                      <c:pt idx="2">
                        <c:v>0.88700000000000001</c:v>
                      </c:pt>
                      <c:pt idx="3">
                        <c:v>0.83899999999999997</c:v>
                      </c:pt>
                      <c:pt idx="4">
                        <c:v>0.93799999999999994</c:v>
                      </c:pt>
                      <c:pt idx="5">
                        <c:v>0.82</c:v>
                      </c:pt>
                      <c:pt idx="6">
                        <c:v>0.60099999999999998</c:v>
                      </c:pt>
                      <c:pt idx="7">
                        <c:v>0.81200000000000006</c:v>
                      </c:pt>
                      <c:pt idx="8">
                        <c:v>0.873</c:v>
                      </c:pt>
                      <c:pt idx="9">
                        <c:v>0.83099999999999996</c:v>
                      </c:pt>
                      <c:pt idx="10">
                        <c:v>0.46</c:v>
                      </c:pt>
                      <c:pt idx="11">
                        <c:v>0.91700000000000004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6B2C-4B83-819F-FC13A8C349F5}"/>
                  </c:ext>
                </c:extLst>
              </c15:ser>
            </c15:filteredBarSeries>
            <c15:filteredB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Daten!$P$1</c15:sqref>
                        </c15:formulaRef>
                      </c:ext>
                    </c:extLst>
                    <c:strCache>
                      <c:ptCount val="1"/>
                      <c:pt idx="0">
                        <c:v>F1           (macro)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Daten!$P$2:$P$13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0.51700000000000002</c:v>
                      </c:pt>
                      <c:pt idx="1">
                        <c:v>0.55000000000000004</c:v>
                      </c:pt>
                      <c:pt idx="2">
                        <c:v>0.54100000000000004</c:v>
                      </c:pt>
                      <c:pt idx="3">
                        <c:v>0.47699999999999998</c:v>
                      </c:pt>
                      <c:pt idx="4">
                        <c:v>0.58199999999999996</c:v>
                      </c:pt>
                      <c:pt idx="5">
                        <c:v>0.48099999999999998</c:v>
                      </c:pt>
                      <c:pt idx="6">
                        <c:v>0.35499999999999998</c:v>
                      </c:pt>
                      <c:pt idx="7">
                        <c:v>0.48199999999999998</c:v>
                      </c:pt>
                      <c:pt idx="8">
                        <c:v>0.51900000000000002</c:v>
                      </c:pt>
                      <c:pt idx="9">
                        <c:v>0.49299999999999999</c:v>
                      </c:pt>
                      <c:pt idx="10">
                        <c:v>0.28699999999999998</c:v>
                      </c:pt>
                      <c:pt idx="11">
                        <c:v>0.54400000000000004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6B2C-4B83-819F-FC13A8C349F5}"/>
                  </c:ext>
                </c:extLst>
              </c15:ser>
            </c15:filteredBarSeries>
            <c15:filteredBa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Daten!$Q$1</c15:sqref>
                        </c15:formulaRef>
                      </c:ext>
                    </c:extLst>
                    <c:strCache>
                      <c:ptCount val="1"/>
                      <c:pt idx="0">
                        <c:v>F1                 (weighted)</c:v>
                      </c:pt>
                    </c:strCache>
                  </c:strRef>
                </c:tx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Daten!$Q$2:$Q$13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0.81699999999999995</c:v>
                      </c:pt>
                      <c:pt idx="1">
                        <c:v>0.85</c:v>
                      </c:pt>
                      <c:pt idx="2">
                        <c:v>0.85499999999999998</c:v>
                      </c:pt>
                      <c:pt idx="3">
                        <c:v>0.80600000000000005</c:v>
                      </c:pt>
                      <c:pt idx="4">
                        <c:v>0.90600000000000003</c:v>
                      </c:pt>
                      <c:pt idx="5">
                        <c:v>0.78900000000000003</c:v>
                      </c:pt>
                      <c:pt idx="6">
                        <c:v>0.57899999999999996</c:v>
                      </c:pt>
                      <c:pt idx="7">
                        <c:v>0.78200000000000003</c:v>
                      </c:pt>
                      <c:pt idx="8">
                        <c:v>0.84099999999999997</c:v>
                      </c:pt>
                      <c:pt idx="9">
                        <c:v>0.8</c:v>
                      </c:pt>
                      <c:pt idx="10">
                        <c:v>0.44400000000000001</c:v>
                      </c:pt>
                      <c:pt idx="11">
                        <c:v>0.88300000000000001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6B2C-4B83-819F-FC13A8C349F5}"/>
                  </c:ext>
                </c:extLst>
              </c15:ser>
            </c15:filteredBarSeries>
          </c:ext>
        </c:extLst>
      </c:barChart>
      <c:catAx>
        <c:axId val="110115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01152736"/>
        <c:crosses val="autoZero"/>
        <c:auto val="1"/>
        <c:lblAlgn val="ctr"/>
        <c:lblOffset val="100"/>
        <c:noMultiLvlLbl val="0"/>
      </c:catAx>
      <c:valAx>
        <c:axId val="110115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01157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Rec wirksam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12"/>
          <c:order val="12"/>
          <c:tx>
            <c:strRef>
              <c:f>Daten!$N$1</c:f>
              <c:strCache>
                <c:ptCount val="1"/>
                <c:pt idx="0">
                  <c:v>Recall (Wirksam)</c:v>
                </c:pt>
              </c:strCache>
              <c:extLst xmlns:c15="http://schemas.microsoft.com/office/drawing/2012/chart"/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Daten!$A$2:$A$13</c:f>
              <c:strCache>
                <c:ptCount val="12"/>
                <c:pt idx="0">
                  <c:v>Grok-3</c:v>
                </c:pt>
                <c:pt idx="1">
                  <c:v>GPT5</c:v>
                </c:pt>
                <c:pt idx="2">
                  <c:v>GPT4</c:v>
                </c:pt>
                <c:pt idx="3">
                  <c:v>OSS120B</c:v>
                </c:pt>
                <c:pt idx="4">
                  <c:v>GPT o4-mini</c:v>
                </c:pt>
                <c:pt idx="5">
                  <c:v>DeepseekR1</c:v>
                </c:pt>
                <c:pt idx="6">
                  <c:v>OSS20B</c:v>
                </c:pt>
                <c:pt idx="7">
                  <c:v>Gemma27B</c:v>
                </c:pt>
                <c:pt idx="8">
                  <c:v>Mistral8B</c:v>
                </c:pt>
                <c:pt idx="9">
                  <c:v>LLama38B</c:v>
                </c:pt>
                <c:pt idx="10">
                  <c:v>Llama3DiscoLeo8B</c:v>
                </c:pt>
                <c:pt idx="11">
                  <c:v>GeminiFlashLite2.5</c:v>
                </c:pt>
              </c:strCache>
              <c:extLst xmlns:c15="http://schemas.microsoft.com/office/drawing/2012/chart"/>
            </c:strRef>
          </c:cat>
          <c:val>
            <c:numRef>
              <c:f>Daten!$N$2:$N$13</c:f>
              <c:numCache>
                <c:formatCode>General</c:formatCode>
                <c:ptCount val="12"/>
                <c:pt idx="0">
                  <c:v>0.748</c:v>
                </c:pt>
                <c:pt idx="1">
                  <c:v>0.8</c:v>
                </c:pt>
                <c:pt idx="2">
                  <c:v>0.81499999999999995</c:v>
                </c:pt>
                <c:pt idx="3">
                  <c:v>0.74399999999999999</c:v>
                </c:pt>
                <c:pt idx="4">
                  <c:v>0.91</c:v>
                </c:pt>
                <c:pt idx="5">
                  <c:v>0.71</c:v>
                </c:pt>
                <c:pt idx="6">
                  <c:v>0.435</c:v>
                </c:pt>
                <c:pt idx="7">
                  <c:v>0.69699999999999995</c:v>
                </c:pt>
                <c:pt idx="8">
                  <c:v>0.79400000000000004</c:v>
                </c:pt>
                <c:pt idx="9">
                  <c:v>0.72599999999999998</c:v>
                </c:pt>
                <c:pt idx="10">
                  <c:v>0.3</c:v>
                </c:pt>
                <c:pt idx="11">
                  <c:v>0.873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1-C606-4919-815C-4216059A1B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1157056"/>
        <c:axId val="110115273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Daten!$B$1</c15:sqref>
                        </c15:formulaRef>
                      </c:ext>
                    </c:extLst>
                    <c:strCache>
                      <c:ptCount val="1"/>
                      <c:pt idx="0">
                        <c:v>Gesamtanzahl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Daten!$B$2:$B$13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3004</c:v>
                      </c:pt>
                      <c:pt idx="1">
                        <c:v>3004</c:v>
                      </c:pt>
                      <c:pt idx="2">
                        <c:v>3004</c:v>
                      </c:pt>
                      <c:pt idx="3">
                        <c:v>3004</c:v>
                      </c:pt>
                      <c:pt idx="4">
                        <c:v>3004</c:v>
                      </c:pt>
                      <c:pt idx="5">
                        <c:v>3004</c:v>
                      </c:pt>
                      <c:pt idx="6">
                        <c:v>3004</c:v>
                      </c:pt>
                      <c:pt idx="7">
                        <c:v>3004</c:v>
                      </c:pt>
                      <c:pt idx="8">
                        <c:v>3004</c:v>
                      </c:pt>
                      <c:pt idx="9">
                        <c:v>3004</c:v>
                      </c:pt>
                      <c:pt idx="10">
                        <c:v>3004</c:v>
                      </c:pt>
                      <c:pt idx="11">
                        <c:v>3004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C606-4919-815C-4216059A1B54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Daten!$C$1</c15:sqref>
                        </c15:formulaRef>
                      </c:ext>
                    </c:extLst>
                    <c:strCache>
                      <c:ptCount val="1"/>
                      <c:pt idx="0">
                        <c:v>Anzahl_Klassifikationen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Daten!$C$2:$C$13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2996</c:v>
                      </c:pt>
                      <c:pt idx="1">
                        <c:v>2990</c:v>
                      </c:pt>
                      <c:pt idx="2">
                        <c:v>2998</c:v>
                      </c:pt>
                      <c:pt idx="3">
                        <c:v>3002</c:v>
                      </c:pt>
                      <c:pt idx="4">
                        <c:v>2996</c:v>
                      </c:pt>
                      <c:pt idx="5">
                        <c:v>2998</c:v>
                      </c:pt>
                      <c:pt idx="6">
                        <c:v>2973</c:v>
                      </c:pt>
                      <c:pt idx="7">
                        <c:v>2989</c:v>
                      </c:pt>
                      <c:pt idx="8">
                        <c:v>2996</c:v>
                      </c:pt>
                      <c:pt idx="9">
                        <c:v>3002</c:v>
                      </c:pt>
                      <c:pt idx="10">
                        <c:v>2995</c:v>
                      </c:pt>
                      <c:pt idx="11">
                        <c:v>3000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606-4919-815C-4216059A1B5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Daten!$D$1</c15:sqref>
                        </c15:formulaRef>
                      </c:ext>
                    </c:extLst>
                    <c:strCache>
                      <c:ptCount val="1"/>
                      <c:pt idx="0">
                        <c:v>Fehlende ('-'/NaN/leer)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Daten!$D$2:$D$13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</c:v>
                      </c:pt>
                      <c:pt idx="1">
                        <c:v>14</c:v>
                      </c:pt>
                      <c:pt idx="2">
                        <c:v>6</c:v>
                      </c:pt>
                      <c:pt idx="3">
                        <c:v>2</c:v>
                      </c:pt>
                      <c:pt idx="4">
                        <c:v>8</c:v>
                      </c:pt>
                      <c:pt idx="5">
                        <c:v>6</c:v>
                      </c:pt>
                      <c:pt idx="6">
                        <c:v>31</c:v>
                      </c:pt>
                      <c:pt idx="7">
                        <c:v>15</c:v>
                      </c:pt>
                      <c:pt idx="8">
                        <c:v>8</c:v>
                      </c:pt>
                      <c:pt idx="9">
                        <c:v>2</c:v>
                      </c:pt>
                      <c:pt idx="10">
                        <c:v>9</c:v>
                      </c:pt>
                      <c:pt idx="11">
                        <c:v>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606-4919-815C-4216059A1B54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Daten!$E$1</c15:sqref>
                        </c15:formulaRef>
                      </c:ext>
                    </c:extLst>
                    <c:strCache>
                      <c:ptCount val="1"/>
                      <c:pt idx="0">
                        <c:v>Accuracy (bereinigt)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Daten!$E$2:$E$13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0.74299999999999999</c:v>
                      </c:pt>
                      <c:pt idx="1">
                        <c:v>0.79300000000000004</c:v>
                      </c:pt>
                      <c:pt idx="2">
                        <c:v>0.80200000000000005</c:v>
                      </c:pt>
                      <c:pt idx="3">
                        <c:v>0.72799999999999998</c:v>
                      </c:pt>
                      <c:pt idx="4">
                        <c:v>0.88600000000000001</c:v>
                      </c:pt>
                      <c:pt idx="5">
                        <c:v>0.70199999999999996</c:v>
                      </c:pt>
                      <c:pt idx="6">
                        <c:v>0.44900000000000001</c:v>
                      </c:pt>
                      <c:pt idx="7">
                        <c:v>0.69299999999999995</c:v>
                      </c:pt>
                      <c:pt idx="8">
                        <c:v>0.78</c:v>
                      </c:pt>
                      <c:pt idx="9">
                        <c:v>0.71899999999999997</c:v>
                      </c:pt>
                      <c:pt idx="10">
                        <c:v>0.32900000000000001</c:v>
                      </c:pt>
                      <c:pt idx="11">
                        <c:v>0.84899999999999998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606-4919-815C-4216059A1B54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Daten!$F$1</c15:sqref>
                        </c15:formulaRef>
                      </c:ext>
                    </c:extLst>
                    <c:strCache>
                      <c:ptCount val="1"/>
                      <c:pt idx="0">
                        <c:v>TP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Daten!$F$2:$F$13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88</c:v>
                      </c:pt>
                      <c:pt idx="1">
                        <c:v>87</c:v>
                      </c:pt>
                      <c:pt idx="2">
                        <c:v>72</c:v>
                      </c:pt>
                      <c:pt idx="3">
                        <c:v>53</c:v>
                      </c:pt>
                      <c:pt idx="4">
                        <c:v>50</c:v>
                      </c:pt>
                      <c:pt idx="5">
                        <c:v>74</c:v>
                      </c:pt>
                      <c:pt idx="6">
                        <c:v>101</c:v>
                      </c:pt>
                      <c:pt idx="7">
                        <c:v>82</c:v>
                      </c:pt>
                      <c:pt idx="8">
                        <c:v>65</c:v>
                      </c:pt>
                      <c:pt idx="9">
                        <c:v>77</c:v>
                      </c:pt>
                      <c:pt idx="10">
                        <c:v>128</c:v>
                      </c:pt>
                      <c:pt idx="11">
                        <c:v>47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606-4919-815C-4216059A1B54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Daten!$G$1</c15:sqref>
                        </c15:formulaRef>
                      </c:ext>
                    </c:extLst>
                    <c:strCache>
                      <c:ptCount val="1"/>
                      <c:pt idx="0">
                        <c:v>FP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Daten!$G$2:$G$13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721</c:v>
                      </c:pt>
                      <c:pt idx="1">
                        <c:v>570</c:v>
                      </c:pt>
                      <c:pt idx="2">
                        <c:v>530</c:v>
                      </c:pt>
                      <c:pt idx="3">
                        <c:v>734</c:v>
                      </c:pt>
                      <c:pt idx="4">
                        <c:v>256</c:v>
                      </c:pt>
                      <c:pt idx="5">
                        <c:v>830</c:v>
                      </c:pt>
                      <c:pt idx="6">
                        <c:v>1604</c:v>
                      </c:pt>
                      <c:pt idx="7">
                        <c:v>864</c:v>
                      </c:pt>
                      <c:pt idx="8">
                        <c:v>588</c:v>
                      </c:pt>
                      <c:pt idx="9">
                        <c:v>785</c:v>
                      </c:pt>
                      <c:pt idx="10">
                        <c:v>2002</c:v>
                      </c:pt>
                      <c:pt idx="11">
                        <c:v>364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C606-4919-815C-4216059A1B54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Daten!$H$1</c15:sqref>
                        </c15:formulaRef>
                      </c:ext>
                    </c:extLst>
                    <c:strCache>
                      <c:ptCount val="1"/>
                      <c:pt idx="0">
                        <c:v>FN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Daten!$H$2:$H$13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49</c:v>
                      </c:pt>
                      <c:pt idx="1">
                        <c:v>50</c:v>
                      </c:pt>
                      <c:pt idx="2">
                        <c:v>65</c:v>
                      </c:pt>
                      <c:pt idx="3">
                        <c:v>83</c:v>
                      </c:pt>
                      <c:pt idx="4">
                        <c:v>86</c:v>
                      </c:pt>
                      <c:pt idx="5">
                        <c:v>63</c:v>
                      </c:pt>
                      <c:pt idx="6">
                        <c:v>34</c:v>
                      </c:pt>
                      <c:pt idx="7">
                        <c:v>54</c:v>
                      </c:pt>
                      <c:pt idx="8">
                        <c:v>71</c:v>
                      </c:pt>
                      <c:pt idx="9">
                        <c:v>60</c:v>
                      </c:pt>
                      <c:pt idx="10">
                        <c:v>8</c:v>
                      </c:pt>
                      <c:pt idx="11">
                        <c:v>90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C606-4919-815C-4216059A1B54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Daten!$I$1</c15:sqref>
                        </c15:formulaRef>
                      </c:ext>
                    </c:extLst>
                    <c:strCache>
                      <c:ptCount val="1"/>
                      <c:pt idx="0">
                        <c:v>TN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Daten!$I$2:$I$13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2138</c:v>
                      </c:pt>
                      <c:pt idx="1">
                        <c:v>2283</c:v>
                      </c:pt>
                      <c:pt idx="2">
                        <c:v>2331</c:v>
                      </c:pt>
                      <c:pt idx="3">
                        <c:v>2132</c:v>
                      </c:pt>
                      <c:pt idx="4">
                        <c:v>2604</c:v>
                      </c:pt>
                      <c:pt idx="5">
                        <c:v>2031</c:v>
                      </c:pt>
                      <c:pt idx="6">
                        <c:v>1234</c:v>
                      </c:pt>
                      <c:pt idx="7">
                        <c:v>1989</c:v>
                      </c:pt>
                      <c:pt idx="8">
                        <c:v>2272</c:v>
                      </c:pt>
                      <c:pt idx="9">
                        <c:v>2080</c:v>
                      </c:pt>
                      <c:pt idx="10">
                        <c:v>857</c:v>
                      </c:pt>
                      <c:pt idx="11">
                        <c:v>2499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C606-4919-815C-4216059A1B54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Daten!$J$1</c15:sqref>
                        </c15:formulaRef>
                      </c:ext>
                    </c:extLst>
                    <c:strCache>
                      <c:ptCount val="1"/>
                      <c:pt idx="0">
                        <c:v>Precision      (Unwirksam)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Daten!$J$2:$J$13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0.109</c:v>
                      </c:pt>
                      <c:pt idx="1">
                        <c:v>0.13200000000000001</c:v>
                      </c:pt>
                      <c:pt idx="2">
                        <c:v>0.12</c:v>
                      </c:pt>
                      <c:pt idx="3">
                        <c:v>6.7000000000000004E-2</c:v>
                      </c:pt>
                      <c:pt idx="4">
                        <c:v>0.16300000000000001</c:v>
                      </c:pt>
                      <c:pt idx="5">
                        <c:v>8.2000000000000003E-2</c:v>
                      </c:pt>
                      <c:pt idx="6">
                        <c:v>5.8999999999999997E-2</c:v>
                      </c:pt>
                      <c:pt idx="7">
                        <c:v>8.6999999999999994E-2</c:v>
                      </c:pt>
                      <c:pt idx="8">
                        <c:v>0.1</c:v>
                      </c:pt>
                      <c:pt idx="9">
                        <c:v>8.8999999999999996E-2</c:v>
                      </c:pt>
                      <c:pt idx="10">
                        <c:v>0.06</c:v>
                      </c:pt>
                      <c:pt idx="11">
                        <c:v>0.114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C606-4919-815C-4216059A1B54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Daten!$K$1</c15:sqref>
                        </c15:formulaRef>
                      </c:ext>
                    </c:extLst>
                    <c:strCache>
                      <c:ptCount val="1"/>
                      <c:pt idx="0">
                        <c:v>Recall      (Unwirksam)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Daten!$K$2:$K$13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0.64200000000000002</c:v>
                      </c:pt>
                      <c:pt idx="1">
                        <c:v>0.63500000000000001</c:v>
                      </c:pt>
                      <c:pt idx="2">
                        <c:v>0.52600000000000002</c:v>
                      </c:pt>
                      <c:pt idx="3">
                        <c:v>0.39</c:v>
                      </c:pt>
                      <c:pt idx="4">
                        <c:v>0.36799999999999999</c:v>
                      </c:pt>
                      <c:pt idx="5">
                        <c:v>0.54</c:v>
                      </c:pt>
                      <c:pt idx="6">
                        <c:v>0.748</c:v>
                      </c:pt>
                      <c:pt idx="7">
                        <c:v>0.60299999999999998</c:v>
                      </c:pt>
                      <c:pt idx="8">
                        <c:v>0.47799999999999998</c:v>
                      </c:pt>
                      <c:pt idx="9">
                        <c:v>0.56200000000000006</c:v>
                      </c:pt>
                      <c:pt idx="10">
                        <c:v>0.94099999999999995</c:v>
                      </c:pt>
                      <c:pt idx="11">
                        <c:v>0.34300000000000003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C606-4919-815C-4216059A1B54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Daten!$L$1</c15:sqref>
                        </c15:formulaRef>
                      </c:ext>
                    </c:extLst>
                    <c:strCache>
                      <c:ptCount val="1"/>
                      <c:pt idx="0">
                        <c:v>F1      (Unwirksam)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Daten!$L$2:$L$13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0.186</c:v>
                      </c:pt>
                      <c:pt idx="1">
                        <c:v>0.219</c:v>
                      </c:pt>
                      <c:pt idx="2">
                        <c:v>0.19500000000000001</c:v>
                      </c:pt>
                      <c:pt idx="3">
                        <c:v>0.115</c:v>
                      </c:pt>
                      <c:pt idx="4">
                        <c:v>0.22600000000000001</c:v>
                      </c:pt>
                      <c:pt idx="5">
                        <c:v>0.14199999999999999</c:v>
                      </c:pt>
                      <c:pt idx="6">
                        <c:v>0.11</c:v>
                      </c:pt>
                      <c:pt idx="7">
                        <c:v>0.152</c:v>
                      </c:pt>
                      <c:pt idx="8">
                        <c:v>0.16500000000000001</c:v>
                      </c:pt>
                      <c:pt idx="9">
                        <c:v>0.154</c:v>
                      </c:pt>
                      <c:pt idx="10">
                        <c:v>0.113</c:v>
                      </c:pt>
                      <c:pt idx="11">
                        <c:v>0.17199999999999999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C606-4919-815C-4216059A1B54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Daten!$M$1</c15:sqref>
                        </c15:formulaRef>
                      </c:ext>
                    </c:extLst>
                    <c:strCache>
                      <c:ptCount val="1"/>
                      <c:pt idx="0">
                        <c:v>Precision      (Wirksam)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Daten!$M$2:$M$13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0.97799999999999998</c:v>
                      </c:pt>
                      <c:pt idx="1">
                        <c:v>0.97899999999999998</c:v>
                      </c:pt>
                      <c:pt idx="2">
                        <c:v>0.97299999999999998</c:v>
                      </c:pt>
                      <c:pt idx="3">
                        <c:v>0.96299999999999997</c:v>
                      </c:pt>
                      <c:pt idx="4">
                        <c:v>0.96799999999999997</c:v>
                      </c:pt>
                      <c:pt idx="5">
                        <c:v>0.97</c:v>
                      </c:pt>
                      <c:pt idx="6">
                        <c:v>0.97299999999999998</c:v>
                      </c:pt>
                      <c:pt idx="7">
                        <c:v>0.97399999999999998</c:v>
                      </c:pt>
                      <c:pt idx="8">
                        <c:v>0.97</c:v>
                      </c:pt>
                      <c:pt idx="9">
                        <c:v>0.97199999999999998</c:v>
                      </c:pt>
                      <c:pt idx="10">
                        <c:v>0.99099999999999999</c:v>
                      </c:pt>
                      <c:pt idx="11">
                        <c:v>0.96499999999999997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C606-4919-815C-4216059A1B54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Daten!$O$1</c15:sqref>
                        </c15:formulaRef>
                      </c:ext>
                    </c:extLst>
                    <c:strCache>
                      <c:ptCount val="1"/>
                      <c:pt idx="0">
                        <c:v>F1                           (Wirksam)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Daten!$O$2:$O$13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0.84699999999999998</c:v>
                      </c:pt>
                      <c:pt idx="1">
                        <c:v>0.88</c:v>
                      </c:pt>
                      <c:pt idx="2">
                        <c:v>0.88700000000000001</c:v>
                      </c:pt>
                      <c:pt idx="3">
                        <c:v>0.83899999999999997</c:v>
                      </c:pt>
                      <c:pt idx="4">
                        <c:v>0.93799999999999994</c:v>
                      </c:pt>
                      <c:pt idx="5">
                        <c:v>0.82</c:v>
                      </c:pt>
                      <c:pt idx="6">
                        <c:v>0.60099999999999998</c:v>
                      </c:pt>
                      <c:pt idx="7">
                        <c:v>0.81200000000000006</c:v>
                      </c:pt>
                      <c:pt idx="8">
                        <c:v>0.873</c:v>
                      </c:pt>
                      <c:pt idx="9">
                        <c:v>0.83099999999999996</c:v>
                      </c:pt>
                      <c:pt idx="10">
                        <c:v>0.46</c:v>
                      </c:pt>
                      <c:pt idx="11">
                        <c:v>0.91700000000000004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606-4919-815C-4216059A1B54}"/>
                  </c:ext>
                </c:extLst>
              </c15:ser>
            </c15:filteredBarSeries>
            <c15:filteredB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Daten!$P$1</c15:sqref>
                        </c15:formulaRef>
                      </c:ext>
                    </c:extLst>
                    <c:strCache>
                      <c:ptCount val="1"/>
                      <c:pt idx="0">
                        <c:v>F1           (macro)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Daten!$P$2:$P$13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0.51700000000000002</c:v>
                      </c:pt>
                      <c:pt idx="1">
                        <c:v>0.55000000000000004</c:v>
                      </c:pt>
                      <c:pt idx="2">
                        <c:v>0.54100000000000004</c:v>
                      </c:pt>
                      <c:pt idx="3">
                        <c:v>0.47699999999999998</c:v>
                      </c:pt>
                      <c:pt idx="4">
                        <c:v>0.58199999999999996</c:v>
                      </c:pt>
                      <c:pt idx="5">
                        <c:v>0.48099999999999998</c:v>
                      </c:pt>
                      <c:pt idx="6">
                        <c:v>0.35499999999999998</c:v>
                      </c:pt>
                      <c:pt idx="7">
                        <c:v>0.48199999999999998</c:v>
                      </c:pt>
                      <c:pt idx="8">
                        <c:v>0.51900000000000002</c:v>
                      </c:pt>
                      <c:pt idx="9">
                        <c:v>0.49299999999999999</c:v>
                      </c:pt>
                      <c:pt idx="10">
                        <c:v>0.28699999999999998</c:v>
                      </c:pt>
                      <c:pt idx="11">
                        <c:v>0.54400000000000004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C606-4919-815C-4216059A1B54}"/>
                  </c:ext>
                </c:extLst>
              </c15:ser>
            </c15:filteredBarSeries>
            <c15:filteredBa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Daten!$Q$1</c15:sqref>
                        </c15:formulaRef>
                      </c:ext>
                    </c:extLst>
                    <c:strCache>
                      <c:ptCount val="1"/>
                      <c:pt idx="0">
                        <c:v>F1                 (weighted)</c:v>
                      </c:pt>
                    </c:strCache>
                  </c:strRef>
                </c:tx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Daten!$Q$2:$Q$13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0.81699999999999995</c:v>
                      </c:pt>
                      <c:pt idx="1">
                        <c:v>0.85</c:v>
                      </c:pt>
                      <c:pt idx="2">
                        <c:v>0.85499999999999998</c:v>
                      </c:pt>
                      <c:pt idx="3">
                        <c:v>0.80600000000000005</c:v>
                      </c:pt>
                      <c:pt idx="4">
                        <c:v>0.90600000000000003</c:v>
                      </c:pt>
                      <c:pt idx="5">
                        <c:v>0.78900000000000003</c:v>
                      </c:pt>
                      <c:pt idx="6">
                        <c:v>0.57899999999999996</c:v>
                      </c:pt>
                      <c:pt idx="7">
                        <c:v>0.78200000000000003</c:v>
                      </c:pt>
                      <c:pt idx="8">
                        <c:v>0.84099999999999997</c:v>
                      </c:pt>
                      <c:pt idx="9">
                        <c:v>0.8</c:v>
                      </c:pt>
                      <c:pt idx="10">
                        <c:v>0.44400000000000001</c:v>
                      </c:pt>
                      <c:pt idx="11">
                        <c:v>0.88300000000000001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C606-4919-815C-4216059A1B54}"/>
                  </c:ext>
                </c:extLst>
              </c15:ser>
            </c15:filteredBarSeries>
          </c:ext>
        </c:extLst>
      </c:barChart>
      <c:catAx>
        <c:axId val="110115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01152736"/>
        <c:crosses val="autoZero"/>
        <c:auto val="1"/>
        <c:lblAlgn val="ctr"/>
        <c:lblOffset val="100"/>
        <c:noMultiLvlLbl val="0"/>
      </c:catAx>
      <c:valAx>
        <c:axId val="110115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01157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F1 unwirksam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10"/>
          <c:order val="10"/>
          <c:tx>
            <c:strRef>
              <c:f>Daten!$L$1</c:f>
              <c:strCache>
                <c:ptCount val="1"/>
                <c:pt idx="0">
                  <c:v>F1      (Unwirksam)</c:v>
                </c:pt>
              </c:strCache>
              <c:extLst xmlns:c15="http://schemas.microsoft.com/office/drawing/2012/chart"/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Daten!$A$2:$A$13</c:f>
              <c:strCache>
                <c:ptCount val="12"/>
                <c:pt idx="0">
                  <c:v>Grok-3</c:v>
                </c:pt>
                <c:pt idx="1">
                  <c:v>GPT5</c:v>
                </c:pt>
                <c:pt idx="2">
                  <c:v>GPT4</c:v>
                </c:pt>
                <c:pt idx="3">
                  <c:v>OSS120B</c:v>
                </c:pt>
                <c:pt idx="4">
                  <c:v>GPT o4-mini</c:v>
                </c:pt>
                <c:pt idx="5">
                  <c:v>DeepseekR1</c:v>
                </c:pt>
                <c:pt idx="6">
                  <c:v>OSS20B</c:v>
                </c:pt>
                <c:pt idx="7">
                  <c:v>Gemma27B</c:v>
                </c:pt>
                <c:pt idx="8">
                  <c:v>Mistral8B</c:v>
                </c:pt>
                <c:pt idx="9">
                  <c:v>LLama38B</c:v>
                </c:pt>
                <c:pt idx="10">
                  <c:v>Llama3DiscoLeo8B</c:v>
                </c:pt>
                <c:pt idx="11">
                  <c:v>GeminiFlashLite2.5</c:v>
                </c:pt>
              </c:strCache>
              <c:extLst xmlns:c15="http://schemas.microsoft.com/office/drawing/2012/chart"/>
            </c:strRef>
          </c:cat>
          <c:val>
            <c:numRef>
              <c:f>Daten!$L$2:$L$13</c:f>
              <c:numCache>
                <c:formatCode>General</c:formatCode>
                <c:ptCount val="12"/>
                <c:pt idx="0">
                  <c:v>0.186</c:v>
                </c:pt>
                <c:pt idx="1">
                  <c:v>0.219</c:v>
                </c:pt>
                <c:pt idx="2">
                  <c:v>0.19500000000000001</c:v>
                </c:pt>
                <c:pt idx="3">
                  <c:v>0.115</c:v>
                </c:pt>
                <c:pt idx="4">
                  <c:v>0.22600000000000001</c:v>
                </c:pt>
                <c:pt idx="5">
                  <c:v>0.14199999999999999</c:v>
                </c:pt>
                <c:pt idx="6">
                  <c:v>0.11</c:v>
                </c:pt>
                <c:pt idx="7">
                  <c:v>0.152</c:v>
                </c:pt>
                <c:pt idx="8">
                  <c:v>0.16500000000000001</c:v>
                </c:pt>
                <c:pt idx="9">
                  <c:v>0.154</c:v>
                </c:pt>
                <c:pt idx="10">
                  <c:v>0.113</c:v>
                </c:pt>
                <c:pt idx="11">
                  <c:v>0.17199999999999999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B-7B39-4D05-9B8A-62DE8F3645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1157056"/>
        <c:axId val="110115273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Daten!$B$1</c15:sqref>
                        </c15:formulaRef>
                      </c:ext>
                    </c:extLst>
                    <c:strCache>
                      <c:ptCount val="1"/>
                      <c:pt idx="0">
                        <c:v>Gesamtanzahl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Daten!$B$2:$B$13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3004</c:v>
                      </c:pt>
                      <c:pt idx="1">
                        <c:v>3004</c:v>
                      </c:pt>
                      <c:pt idx="2">
                        <c:v>3004</c:v>
                      </c:pt>
                      <c:pt idx="3">
                        <c:v>3004</c:v>
                      </c:pt>
                      <c:pt idx="4">
                        <c:v>3004</c:v>
                      </c:pt>
                      <c:pt idx="5">
                        <c:v>3004</c:v>
                      </c:pt>
                      <c:pt idx="6">
                        <c:v>3004</c:v>
                      </c:pt>
                      <c:pt idx="7">
                        <c:v>3004</c:v>
                      </c:pt>
                      <c:pt idx="8">
                        <c:v>3004</c:v>
                      </c:pt>
                      <c:pt idx="9">
                        <c:v>3004</c:v>
                      </c:pt>
                      <c:pt idx="10">
                        <c:v>3004</c:v>
                      </c:pt>
                      <c:pt idx="11">
                        <c:v>3004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7B39-4D05-9B8A-62DE8F364508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Daten!$C$1</c15:sqref>
                        </c15:formulaRef>
                      </c:ext>
                    </c:extLst>
                    <c:strCache>
                      <c:ptCount val="1"/>
                      <c:pt idx="0">
                        <c:v>Anzahl_Klassifikationen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Daten!$C$2:$C$13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2996</c:v>
                      </c:pt>
                      <c:pt idx="1">
                        <c:v>2990</c:v>
                      </c:pt>
                      <c:pt idx="2">
                        <c:v>2998</c:v>
                      </c:pt>
                      <c:pt idx="3">
                        <c:v>3002</c:v>
                      </c:pt>
                      <c:pt idx="4">
                        <c:v>2996</c:v>
                      </c:pt>
                      <c:pt idx="5">
                        <c:v>2998</c:v>
                      </c:pt>
                      <c:pt idx="6">
                        <c:v>2973</c:v>
                      </c:pt>
                      <c:pt idx="7">
                        <c:v>2989</c:v>
                      </c:pt>
                      <c:pt idx="8">
                        <c:v>2996</c:v>
                      </c:pt>
                      <c:pt idx="9">
                        <c:v>3002</c:v>
                      </c:pt>
                      <c:pt idx="10">
                        <c:v>2995</c:v>
                      </c:pt>
                      <c:pt idx="11">
                        <c:v>3000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B39-4D05-9B8A-62DE8F364508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Daten!$D$1</c15:sqref>
                        </c15:formulaRef>
                      </c:ext>
                    </c:extLst>
                    <c:strCache>
                      <c:ptCount val="1"/>
                      <c:pt idx="0">
                        <c:v>Fehlende ('-'/NaN/leer)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Daten!$D$2:$D$13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</c:v>
                      </c:pt>
                      <c:pt idx="1">
                        <c:v>14</c:v>
                      </c:pt>
                      <c:pt idx="2">
                        <c:v>6</c:v>
                      </c:pt>
                      <c:pt idx="3">
                        <c:v>2</c:v>
                      </c:pt>
                      <c:pt idx="4">
                        <c:v>8</c:v>
                      </c:pt>
                      <c:pt idx="5">
                        <c:v>6</c:v>
                      </c:pt>
                      <c:pt idx="6">
                        <c:v>31</c:v>
                      </c:pt>
                      <c:pt idx="7">
                        <c:v>15</c:v>
                      </c:pt>
                      <c:pt idx="8">
                        <c:v>8</c:v>
                      </c:pt>
                      <c:pt idx="9">
                        <c:v>2</c:v>
                      </c:pt>
                      <c:pt idx="10">
                        <c:v>9</c:v>
                      </c:pt>
                      <c:pt idx="11">
                        <c:v>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B39-4D05-9B8A-62DE8F364508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Daten!$E$1</c15:sqref>
                        </c15:formulaRef>
                      </c:ext>
                    </c:extLst>
                    <c:strCache>
                      <c:ptCount val="1"/>
                      <c:pt idx="0">
                        <c:v>Accuracy (bereinigt)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Daten!$E$2:$E$13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0.74299999999999999</c:v>
                      </c:pt>
                      <c:pt idx="1">
                        <c:v>0.79300000000000004</c:v>
                      </c:pt>
                      <c:pt idx="2">
                        <c:v>0.80200000000000005</c:v>
                      </c:pt>
                      <c:pt idx="3">
                        <c:v>0.72799999999999998</c:v>
                      </c:pt>
                      <c:pt idx="4">
                        <c:v>0.88600000000000001</c:v>
                      </c:pt>
                      <c:pt idx="5">
                        <c:v>0.70199999999999996</c:v>
                      </c:pt>
                      <c:pt idx="6">
                        <c:v>0.44900000000000001</c:v>
                      </c:pt>
                      <c:pt idx="7">
                        <c:v>0.69299999999999995</c:v>
                      </c:pt>
                      <c:pt idx="8">
                        <c:v>0.78</c:v>
                      </c:pt>
                      <c:pt idx="9">
                        <c:v>0.71899999999999997</c:v>
                      </c:pt>
                      <c:pt idx="10">
                        <c:v>0.32900000000000001</c:v>
                      </c:pt>
                      <c:pt idx="11">
                        <c:v>0.84899999999999998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B39-4D05-9B8A-62DE8F364508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Daten!$F$1</c15:sqref>
                        </c15:formulaRef>
                      </c:ext>
                    </c:extLst>
                    <c:strCache>
                      <c:ptCount val="1"/>
                      <c:pt idx="0">
                        <c:v>TP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Daten!$F$2:$F$13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88</c:v>
                      </c:pt>
                      <c:pt idx="1">
                        <c:v>87</c:v>
                      </c:pt>
                      <c:pt idx="2">
                        <c:v>72</c:v>
                      </c:pt>
                      <c:pt idx="3">
                        <c:v>53</c:v>
                      </c:pt>
                      <c:pt idx="4">
                        <c:v>50</c:v>
                      </c:pt>
                      <c:pt idx="5">
                        <c:v>74</c:v>
                      </c:pt>
                      <c:pt idx="6">
                        <c:v>101</c:v>
                      </c:pt>
                      <c:pt idx="7">
                        <c:v>82</c:v>
                      </c:pt>
                      <c:pt idx="8">
                        <c:v>65</c:v>
                      </c:pt>
                      <c:pt idx="9">
                        <c:v>77</c:v>
                      </c:pt>
                      <c:pt idx="10">
                        <c:v>128</c:v>
                      </c:pt>
                      <c:pt idx="11">
                        <c:v>47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B39-4D05-9B8A-62DE8F364508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Daten!$G$1</c15:sqref>
                        </c15:formulaRef>
                      </c:ext>
                    </c:extLst>
                    <c:strCache>
                      <c:ptCount val="1"/>
                      <c:pt idx="0">
                        <c:v>FP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Daten!$G$2:$G$13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721</c:v>
                      </c:pt>
                      <c:pt idx="1">
                        <c:v>570</c:v>
                      </c:pt>
                      <c:pt idx="2">
                        <c:v>530</c:v>
                      </c:pt>
                      <c:pt idx="3">
                        <c:v>734</c:v>
                      </c:pt>
                      <c:pt idx="4">
                        <c:v>256</c:v>
                      </c:pt>
                      <c:pt idx="5">
                        <c:v>830</c:v>
                      </c:pt>
                      <c:pt idx="6">
                        <c:v>1604</c:v>
                      </c:pt>
                      <c:pt idx="7">
                        <c:v>864</c:v>
                      </c:pt>
                      <c:pt idx="8">
                        <c:v>588</c:v>
                      </c:pt>
                      <c:pt idx="9">
                        <c:v>785</c:v>
                      </c:pt>
                      <c:pt idx="10">
                        <c:v>2002</c:v>
                      </c:pt>
                      <c:pt idx="11">
                        <c:v>364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B39-4D05-9B8A-62DE8F364508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Daten!$H$1</c15:sqref>
                        </c15:formulaRef>
                      </c:ext>
                    </c:extLst>
                    <c:strCache>
                      <c:ptCount val="1"/>
                      <c:pt idx="0">
                        <c:v>FN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Daten!$H$2:$H$13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49</c:v>
                      </c:pt>
                      <c:pt idx="1">
                        <c:v>50</c:v>
                      </c:pt>
                      <c:pt idx="2">
                        <c:v>65</c:v>
                      </c:pt>
                      <c:pt idx="3">
                        <c:v>83</c:v>
                      </c:pt>
                      <c:pt idx="4">
                        <c:v>86</c:v>
                      </c:pt>
                      <c:pt idx="5">
                        <c:v>63</c:v>
                      </c:pt>
                      <c:pt idx="6">
                        <c:v>34</c:v>
                      </c:pt>
                      <c:pt idx="7">
                        <c:v>54</c:v>
                      </c:pt>
                      <c:pt idx="8">
                        <c:v>71</c:v>
                      </c:pt>
                      <c:pt idx="9">
                        <c:v>60</c:v>
                      </c:pt>
                      <c:pt idx="10">
                        <c:v>8</c:v>
                      </c:pt>
                      <c:pt idx="11">
                        <c:v>90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B39-4D05-9B8A-62DE8F364508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Daten!$I$1</c15:sqref>
                        </c15:formulaRef>
                      </c:ext>
                    </c:extLst>
                    <c:strCache>
                      <c:ptCount val="1"/>
                      <c:pt idx="0">
                        <c:v>TN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Daten!$I$2:$I$13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2138</c:v>
                      </c:pt>
                      <c:pt idx="1">
                        <c:v>2283</c:v>
                      </c:pt>
                      <c:pt idx="2">
                        <c:v>2331</c:v>
                      </c:pt>
                      <c:pt idx="3">
                        <c:v>2132</c:v>
                      </c:pt>
                      <c:pt idx="4">
                        <c:v>2604</c:v>
                      </c:pt>
                      <c:pt idx="5">
                        <c:v>2031</c:v>
                      </c:pt>
                      <c:pt idx="6">
                        <c:v>1234</c:v>
                      </c:pt>
                      <c:pt idx="7">
                        <c:v>1989</c:v>
                      </c:pt>
                      <c:pt idx="8">
                        <c:v>2272</c:v>
                      </c:pt>
                      <c:pt idx="9">
                        <c:v>2080</c:v>
                      </c:pt>
                      <c:pt idx="10">
                        <c:v>857</c:v>
                      </c:pt>
                      <c:pt idx="11">
                        <c:v>2499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7B39-4D05-9B8A-62DE8F364508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Daten!$J$1</c15:sqref>
                        </c15:formulaRef>
                      </c:ext>
                    </c:extLst>
                    <c:strCache>
                      <c:ptCount val="1"/>
                      <c:pt idx="0">
                        <c:v>Precision      (Unwirksam)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Daten!$J$2:$J$13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0.109</c:v>
                      </c:pt>
                      <c:pt idx="1">
                        <c:v>0.13200000000000001</c:v>
                      </c:pt>
                      <c:pt idx="2">
                        <c:v>0.12</c:v>
                      </c:pt>
                      <c:pt idx="3">
                        <c:v>6.7000000000000004E-2</c:v>
                      </c:pt>
                      <c:pt idx="4">
                        <c:v>0.16300000000000001</c:v>
                      </c:pt>
                      <c:pt idx="5">
                        <c:v>8.2000000000000003E-2</c:v>
                      </c:pt>
                      <c:pt idx="6">
                        <c:v>5.8999999999999997E-2</c:v>
                      </c:pt>
                      <c:pt idx="7">
                        <c:v>8.6999999999999994E-2</c:v>
                      </c:pt>
                      <c:pt idx="8">
                        <c:v>0.1</c:v>
                      </c:pt>
                      <c:pt idx="9">
                        <c:v>8.8999999999999996E-2</c:v>
                      </c:pt>
                      <c:pt idx="10">
                        <c:v>0.06</c:v>
                      </c:pt>
                      <c:pt idx="11">
                        <c:v>0.114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7B39-4D05-9B8A-62DE8F364508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Daten!$K$1</c15:sqref>
                        </c15:formulaRef>
                      </c:ext>
                    </c:extLst>
                    <c:strCache>
                      <c:ptCount val="1"/>
                      <c:pt idx="0">
                        <c:v>Recall      (Unwirksam)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Daten!$K$2:$K$13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0.64200000000000002</c:v>
                      </c:pt>
                      <c:pt idx="1">
                        <c:v>0.63500000000000001</c:v>
                      </c:pt>
                      <c:pt idx="2">
                        <c:v>0.52600000000000002</c:v>
                      </c:pt>
                      <c:pt idx="3">
                        <c:v>0.39</c:v>
                      </c:pt>
                      <c:pt idx="4">
                        <c:v>0.36799999999999999</c:v>
                      </c:pt>
                      <c:pt idx="5">
                        <c:v>0.54</c:v>
                      </c:pt>
                      <c:pt idx="6">
                        <c:v>0.748</c:v>
                      </c:pt>
                      <c:pt idx="7">
                        <c:v>0.60299999999999998</c:v>
                      </c:pt>
                      <c:pt idx="8">
                        <c:v>0.47799999999999998</c:v>
                      </c:pt>
                      <c:pt idx="9">
                        <c:v>0.56200000000000006</c:v>
                      </c:pt>
                      <c:pt idx="10">
                        <c:v>0.94099999999999995</c:v>
                      </c:pt>
                      <c:pt idx="11">
                        <c:v>0.34300000000000003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7B39-4D05-9B8A-62DE8F364508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Daten!$M$1</c15:sqref>
                        </c15:formulaRef>
                      </c:ext>
                    </c:extLst>
                    <c:strCache>
                      <c:ptCount val="1"/>
                      <c:pt idx="0">
                        <c:v>Precision      (Wirksam)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Daten!$M$2:$M$13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0.97799999999999998</c:v>
                      </c:pt>
                      <c:pt idx="1">
                        <c:v>0.97899999999999998</c:v>
                      </c:pt>
                      <c:pt idx="2">
                        <c:v>0.97299999999999998</c:v>
                      </c:pt>
                      <c:pt idx="3">
                        <c:v>0.96299999999999997</c:v>
                      </c:pt>
                      <c:pt idx="4">
                        <c:v>0.96799999999999997</c:v>
                      </c:pt>
                      <c:pt idx="5">
                        <c:v>0.97</c:v>
                      </c:pt>
                      <c:pt idx="6">
                        <c:v>0.97299999999999998</c:v>
                      </c:pt>
                      <c:pt idx="7">
                        <c:v>0.97399999999999998</c:v>
                      </c:pt>
                      <c:pt idx="8">
                        <c:v>0.97</c:v>
                      </c:pt>
                      <c:pt idx="9">
                        <c:v>0.97199999999999998</c:v>
                      </c:pt>
                      <c:pt idx="10">
                        <c:v>0.99099999999999999</c:v>
                      </c:pt>
                      <c:pt idx="11">
                        <c:v>0.96499999999999997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7B39-4D05-9B8A-62DE8F364508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Daten!$N$1</c15:sqref>
                        </c15:formulaRef>
                      </c:ext>
                    </c:extLst>
                    <c:strCache>
                      <c:ptCount val="1"/>
                      <c:pt idx="0">
                        <c:v>Recall (Wirksam)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Daten!$N$2:$N$13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0.748</c:v>
                      </c:pt>
                      <c:pt idx="1">
                        <c:v>0.8</c:v>
                      </c:pt>
                      <c:pt idx="2">
                        <c:v>0.81499999999999995</c:v>
                      </c:pt>
                      <c:pt idx="3">
                        <c:v>0.74399999999999999</c:v>
                      </c:pt>
                      <c:pt idx="4">
                        <c:v>0.91</c:v>
                      </c:pt>
                      <c:pt idx="5">
                        <c:v>0.71</c:v>
                      </c:pt>
                      <c:pt idx="6">
                        <c:v>0.435</c:v>
                      </c:pt>
                      <c:pt idx="7">
                        <c:v>0.69699999999999995</c:v>
                      </c:pt>
                      <c:pt idx="8">
                        <c:v>0.79400000000000004</c:v>
                      </c:pt>
                      <c:pt idx="9">
                        <c:v>0.72599999999999998</c:v>
                      </c:pt>
                      <c:pt idx="10">
                        <c:v>0.3</c:v>
                      </c:pt>
                      <c:pt idx="11">
                        <c:v>0.873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7B39-4D05-9B8A-62DE8F364508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Daten!$O$1</c15:sqref>
                        </c15:formulaRef>
                      </c:ext>
                    </c:extLst>
                    <c:strCache>
                      <c:ptCount val="1"/>
                      <c:pt idx="0">
                        <c:v>F1                           (Wirksam)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Daten!$O$2:$O$13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0.84699999999999998</c:v>
                      </c:pt>
                      <c:pt idx="1">
                        <c:v>0.88</c:v>
                      </c:pt>
                      <c:pt idx="2">
                        <c:v>0.88700000000000001</c:v>
                      </c:pt>
                      <c:pt idx="3">
                        <c:v>0.83899999999999997</c:v>
                      </c:pt>
                      <c:pt idx="4">
                        <c:v>0.93799999999999994</c:v>
                      </c:pt>
                      <c:pt idx="5">
                        <c:v>0.82</c:v>
                      </c:pt>
                      <c:pt idx="6">
                        <c:v>0.60099999999999998</c:v>
                      </c:pt>
                      <c:pt idx="7">
                        <c:v>0.81200000000000006</c:v>
                      </c:pt>
                      <c:pt idx="8">
                        <c:v>0.873</c:v>
                      </c:pt>
                      <c:pt idx="9">
                        <c:v>0.83099999999999996</c:v>
                      </c:pt>
                      <c:pt idx="10">
                        <c:v>0.46</c:v>
                      </c:pt>
                      <c:pt idx="11">
                        <c:v>0.91700000000000004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7B39-4D05-9B8A-62DE8F364508}"/>
                  </c:ext>
                </c:extLst>
              </c15:ser>
            </c15:filteredBarSeries>
            <c15:filteredB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Daten!$P$1</c15:sqref>
                        </c15:formulaRef>
                      </c:ext>
                    </c:extLst>
                    <c:strCache>
                      <c:ptCount val="1"/>
                      <c:pt idx="0">
                        <c:v>F1           (macro)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Daten!$P$2:$P$13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0.51700000000000002</c:v>
                      </c:pt>
                      <c:pt idx="1">
                        <c:v>0.55000000000000004</c:v>
                      </c:pt>
                      <c:pt idx="2">
                        <c:v>0.54100000000000004</c:v>
                      </c:pt>
                      <c:pt idx="3">
                        <c:v>0.47699999999999998</c:v>
                      </c:pt>
                      <c:pt idx="4">
                        <c:v>0.58199999999999996</c:v>
                      </c:pt>
                      <c:pt idx="5">
                        <c:v>0.48099999999999998</c:v>
                      </c:pt>
                      <c:pt idx="6">
                        <c:v>0.35499999999999998</c:v>
                      </c:pt>
                      <c:pt idx="7">
                        <c:v>0.48199999999999998</c:v>
                      </c:pt>
                      <c:pt idx="8">
                        <c:v>0.51900000000000002</c:v>
                      </c:pt>
                      <c:pt idx="9">
                        <c:v>0.49299999999999999</c:v>
                      </c:pt>
                      <c:pt idx="10">
                        <c:v>0.28699999999999998</c:v>
                      </c:pt>
                      <c:pt idx="11">
                        <c:v>0.54400000000000004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7B39-4D05-9B8A-62DE8F364508}"/>
                  </c:ext>
                </c:extLst>
              </c15:ser>
            </c15:filteredBarSeries>
            <c15:filteredBa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Daten!$Q$1</c15:sqref>
                        </c15:formulaRef>
                      </c:ext>
                    </c:extLst>
                    <c:strCache>
                      <c:ptCount val="1"/>
                      <c:pt idx="0">
                        <c:v>F1                 (weighted)</c:v>
                      </c:pt>
                    </c:strCache>
                  </c:strRef>
                </c:tx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Daten!$Q$2:$Q$13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0.81699999999999995</c:v>
                      </c:pt>
                      <c:pt idx="1">
                        <c:v>0.85</c:v>
                      </c:pt>
                      <c:pt idx="2">
                        <c:v>0.85499999999999998</c:v>
                      </c:pt>
                      <c:pt idx="3">
                        <c:v>0.80600000000000005</c:v>
                      </c:pt>
                      <c:pt idx="4">
                        <c:v>0.90600000000000003</c:v>
                      </c:pt>
                      <c:pt idx="5">
                        <c:v>0.78900000000000003</c:v>
                      </c:pt>
                      <c:pt idx="6">
                        <c:v>0.57899999999999996</c:v>
                      </c:pt>
                      <c:pt idx="7">
                        <c:v>0.78200000000000003</c:v>
                      </c:pt>
                      <c:pt idx="8">
                        <c:v>0.84099999999999997</c:v>
                      </c:pt>
                      <c:pt idx="9">
                        <c:v>0.8</c:v>
                      </c:pt>
                      <c:pt idx="10">
                        <c:v>0.44400000000000001</c:v>
                      </c:pt>
                      <c:pt idx="11">
                        <c:v>0.88300000000000001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7B39-4D05-9B8A-62DE8F364508}"/>
                  </c:ext>
                </c:extLst>
              </c15:ser>
            </c15:filteredBarSeries>
          </c:ext>
        </c:extLst>
      </c:barChart>
      <c:catAx>
        <c:axId val="110115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01152736"/>
        <c:crosses val="autoZero"/>
        <c:auto val="1"/>
        <c:lblAlgn val="ctr"/>
        <c:lblOffset val="100"/>
        <c:noMultiLvlLbl val="0"/>
      </c:catAx>
      <c:valAx>
        <c:axId val="110115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01157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Recall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18"/>
          <c:order val="18"/>
          <c:tx>
            <c:strRef>
              <c:f>Daten!$T$1</c:f>
              <c:strCache>
                <c:ptCount val="1"/>
                <c:pt idx="0">
                  <c:v>Recall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Daten!$A$2:$A$13</c:f>
              <c:strCache>
                <c:ptCount val="12"/>
                <c:pt idx="0">
                  <c:v>Grok-3</c:v>
                </c:pt>
                <c:pt idx="1">
                  <c:v>GPT5</c:v>
                </c:pt>
                <c:pt idx="2">
                  <c:v>GPT4</c:v>
                </c:pt>
                <c:pt idx="3">
                  <c:v>OSS120B</c:v>
                </c:pt>
                <c:pt idx="4">
                  <c:v>GPT o4-mini</c:v>
                </c:pt>
                <c:pt idx="5">
                  <c:v>DeepseekR1</c:v>
                </c:pt>
                <c:pt idx="6">
                  <c:v>OSS20B</c:v>
                </c:pt>
                <c:pt idx="7">
                  <c:v>Gemma27B</c:v>
                </c:pt>
                <c:pt idx="8">
                  <c:v>Mistral8B</c:v>
                </c:pt>
                <c:pt idx="9">
                  <c:v>LLama38B</c:v>
                </c:pt>
                <c:pt idx="10">
                  <c:v>Llama3DiscoLeo8B</c:v>
                </c:pt>
                <c:pt idx="11">
                  <c:v>GeminiFlashLite2.5</c:v>
                </c:pt>
              </c:strCache>
            </c:strRef>
          </c:cat>
          <c:val>
            <c:numRef>
              <c:f>Daten!$T$2:$T$13</c:f>
              <c:numCache>
                <c:formatCode>0.000</c:formatCode>
                <c:ptCount val="12"/>
                <c:pt idx="0">
                  <c:v>0.64233576642335766</c:v>
                </c:pt>
                <c:pt idx="1">
                  <c:v>0.63503649635036497</c:v>
                </c:pt>
                <c:pt idx="2">
                  <c:v>0.52554744525547448</c:v>
                </c:pt>
                <c:pt idx="3">
                  <c:v>0.38970588235294118</c:v>
                </c:pt>
                <c:pt idx="4">
                  <c:v>0.36764705882352944</c:v>
                </c:pt>
                <c:pt idx="5">
                  <c:v>0.54014598540145986</c:v>
                </c:pt>
                <c:pt idx="6">
                  <c:v>0.74814814814814812</c:v>
                </c:pt>
                <c:pt idx="7">
                  <c:v>0.6029411764705882</c:v>
                </c:pt>
                <c:pt idx="8">
                  <c:v>0.47794117647058826</c:v>
                </c:pt>
                <c:pt idx="9">
                  <c:v>0.56204379562043794</c:v>
                </c:pt>
                <c:pt idx="10">
                  <c:v>0.94117647058823528</c:v>
                </c:pt>
                <c:pt idx="11">
                  <c:v>0.34306569343065696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CB24-483C-942C-C674BA5B6E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1157056"/>
        <c:axId val="110115273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Daten!$B$1</c15:sqref>
                        </c15:formulaRef>
                      </c:ext>
                    </c:extLst>
                    <c:strCache>
                      <c:ptCount val="1"/>
                      <c:pt idx="0">
                        <c:v>Gesamtanzahl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Daten!$B$2:$B$13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3004</c:v>
                      </c:pt>
                      <c:pt idx="1">
                        <c:v>3004</c:v>
                      </c:pt>
                      <c:pt idx="2">
                        <c:v>3004</c:v>
                      </c:pt>
                      <c:pt idx="3">
                        <c:v>3004</c:v>
                      </c:pt>
                      <c:pt idx="4">
                        <c:v>3004</c:v>
                      </c:pt>
                      <c:pt idx="5">
                        <c:v>3004</c:v>
                      </c:pt>
                      <c:pt idx="6">
                        <c:v>3004</c:v>
                      </c:pt>
                      <c:pt idx="7">
                        <c:v>3004</c:v>
                      </c:pt>
                      <c:pt idx="8">
                        <c:v>3004</c:v>
                      </c:pt>
                      <c:pt idx="9">
                        <c:v>3004</c:v>
                      </c:pt>
                      <c:pt idx="10">
                        <c:v>3004</c:v>
                      </c:pt>
                      <c:pt idx="11">
                        <c:v>3004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CB24-483C-942C-C674BA5B6E5B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Daten!$C$1</c15:sqref>
                        </c15:formulaRef>
                      </c:ext>
                    </c:extLst>
                    <c:strCache>
                      <c:ptCount val="1"/>
                      <c:pt idx="0">
                        <c:v>Anzahl_Klassifikationen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Daten!$C$2:$C$13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2996</c:v>
                      </c:pt>
                      <c:pt idx="1">
                        <c:v>2990</c:v>
                      </c:pt>
                      <c:pt idx="2">
                        <c:v>2998</c:v>
                      </c:pt>
                      <c:pt idx="3">
                        <c:v>3002</c:v>
                      </c:pt>
                      <c:pt idx="4">
                        <c:v>2996</c:v>
                      </c:pt>
                      <c:pt idx="5">
                        <c:v>2998</c:v>
                      </c:pt>
                      <c:pt idx="6">
                        <c:v>2973</c:v>
                      </c:pt>
                      <c:pt idx="7">
                        <c:v>2989</c:v>
                      </c:pt>
                      <c:pt idx="8">
                        <c:v>2996</c:v>
                      </c:pt>
                      <c:pt idx="9">
                        <c:v>3002</c:v>
                      </c:pt>
                      <c:pt idx="10">
                        <c:v>2995</c:v>
                      </c:pt>
                      <c:pt idx="11">
                        <c:v>3000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B24-483C-942C-C674BA5B6E5B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Daten!$D$1</c15:sqref>
                        </c15:formulaRef>
                      </c:ext>
                    </c:extLst>
                    <c:strCache>
                      <c:ptCount val="1"/>
                      <c:pt idx="0">
                        <c:v>Fehlende ('-'/NaN/leer)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Daten!$D$2:$D$13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</c:v>
                      </c:pt>
                      <c:pt idx="1">
                        <c:v>14</c:v>
                      </c:pt>
                      <c:pt idx="2">
                        <c:v>6</c:v>
                      </c:pt>
                      <c:pt idx="3">
                        <c:v>2</c:v>
                      </c:pt>
                      <c:pt idx="4">
                        <c:v>8</c:v>
                      </c:pt>
                      <c:pt idx="5">
                        <c:v>6</c:v>
                      </c:pt>
                      <c:pt idx="6">
                        <c:v>31</c:v>
                      </c:pt>
                      <c:pt idx="7">
                        <c:v>15</c:v>
                      </c:pt>
                      <c:pt idx="8">
                        <c:v>8</c:v>
                      </c:pt>
                      <c:pt idx="9">
                        <c:v>2</c:v>
                      </c:pt>
                      <c:pt idx="10">
                        <c:v>9</c:v>
                      </c:pt>
                      <c:pt idx="11">
                        <c:v>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B24-483C-942C-C674BA5B6E5B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Daten!$E$1</c15:sqref>
                        </c15:formulaRef>
                      </c:ext>
                    </c:extLst>
                    <c:strCache>
                      <c:ptCount val="1"/>
                      <c:pt idx="0">
                        <c:v>Accuracy (bereinigt)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Daten!$E$2:$E$13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0.74299999999999999</c:v>
                      </c:pt>
                      <c:pt idx="1">
                        <c:v>0.79300000000000004</c:v>
                      </c:pt>
                      <c:pt idx="2">
                        <c:v>0.80200000000000005</c:v>
                      </c:pt>
                      <c:pt idx="3">
                        <c:v>0.72799999999999998</c:v>
                      </c:pt>
                      <c:pt idx="4">
                        <c:v>0.88600000000000001</c:v>
                      </c:pt>
                      <c:pt idx="5">
                        <c:v>0.70199999999999996</c:v>
                      </c:pt>
                      <c:pt idx="6">
                        <c:v>0.44900000000000001</c:v>
                      </c:pt>
                      <c:pt idx="7">
                        <c:v>0.69299999999999995</c:v>
                      </c:pt>
                      <c:pt idx="8">
                        <c:v>0.78</c:v>
                      </c:pt>
                      <c:pt idx="9">
                        <c:v>0.71899999999999997</c:v>
                      </c:pt>
                      <c:pt idx="10">
                        <c:v>0.32900000000000001</c:v>
                      </c:pt>
                      <c:pt idx="11">
                        <c:v>0.84899999999999998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CB24-483C-942C-C674BA5B6E5B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Daten!$F$1</c15:sqref>
                        </c15:formulaRef>
                      </c:ext>
                    </c:extLst>
                    <c:strCache>
                      <c:ptCount val="1"/>
                      <c:pt idx="0">
                        <c:v>TP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Daten!$F$2:$F$13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88</c:v>
                      </c:pt>
                      <c:pt idx="1">
                        <c:v>87</c:v>
                      </c:pt>
                      <c:pt idx="2">
                        <c:v>72</c:v>
                      </c:pt>
                      <c:pt idx="3">
                        <c:v>53</c:v>
                      </c:pt>
                      <c:pt idx="4">
                        <c:v>50</c:v>
                      </c:pt>
                      <c:pt idx="5">
                        <c:v>74</c:v>
                      </c:pt>
                      <c:pt idx="6">
                        <c:v>101</c:v>
                      </c:pt>
                      <c:pt idx="7">
                        <c:v>82</c:v>
                      </c:pt>
                      <c:pt idx="8">
                        <c:v>65</c:v>
                      </c:pt>
                      <c:pt idx="9">
                        <c:v>77</c:v>
                      </c:pt>
                      <c:pt idx="10">
                        <c:v>128</c:v>
                      </c:pt>
                      <c:pt idx="11">
                        <c:v>47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B24-483C-942C-C674BA5B6E5B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Daten!$G$1</c15:sqref>
                        </c15:formulaRef>
                      </c:ext>
                    </c:extLst>
                    <c:strCache>
                      <c:ptCount val="1"/>
                      <c:pt idx="0">
                        <c:v>FP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Daten!$G$2:$G$13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721</c:v>
                      </c:pt>
                      <c:pt idx="1">
                        <c:v>570</c:v>
                      </c:pt>
                      <c:pt idx="2">
                        <c:v>530</c:v>
                      </c:pt>
                      <c:pt idx="3">
                        <c:v>734</c:v>
                      </c:pt>
                      <c:pt idx="4">
                        <c:v>256</c:v>
                      </c:pt>
                      <c:pt idx="5">
                        <c:v>830</c:v>
                      </c:pt>
                      <c:pt idx="6">
                        <c:v>1604</c:v>
                      </c:pt>
                      <c:pt idx="7">
                        <c:v>864</c:v>
                      </c:pt>
                      <c:pt idx="8">
                        <c:v>588</c:v>
                      </c:pt>
                      <c:pt idx="9">
                        <c:v>785</c:v>
                      </c:pt>
                      <c:pt idx="10">
                        <c:v>2002</c:v>
                      </c:pt>
                      <c:pt idx="11">
                        <c:v>364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B24-483C-942C-C674BA5B6E5B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Daten!$H$1</c15:sqref>
                        </c15:formulaRef>
                      </c:ext>
                    </c:extLst>
                    <c:strCache>
                      <c:ptCount val="1"/>
                      <c:pt idx="0">
                        <c:v>FN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Daten!$H$2:$H$13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49</c:v>
                      </c:pt>
                      <c:pt idx="1">
                        <c:v>50</c:v>
                      </c:pt>
                      <c:pt idx="2">
                        <c:v>65</c:v>
                      </c:pt>
                      <c:pt idx="3">
                        <c:v>83</c:v>
                      </c:pt>
                      <c:pt idx="4">
                        <c:v>86</c:v>
                      </c:pt>
                      <c:pt idx="5">
                        <c:v>63</c:v>
                      </c:pt>
                      <c:pt idx="6">
                        <c:v>34</c:v>
                      </c:pt>
                      <c:pt idx="7">
                        <c:v>54</c:v>
                      </c:pt>
                      <c:pt idx="8">
                        <c:v>71</c:v>
                      </c:pt>
                      <c:pt idx="9">
                        <c:v>60</c:v>
                      </c:pt>
                      <c:pt idx="10">
                        <c:v>8</c:v>
                      </c:pt>
                      <c:pt idx="11">
                        <c:v>90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B24-483C-942C-C674BA5B6E5B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Daten!$I$1</c15:sqref>
                        </c15:formulaRef>
                      </c:ext>
                    </c:extLst>
                    <c:strCache>
                      <c:ptCount val="1"/>
                      <c:pt idx="0">
                        <c:v>TN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Daten!$I$2:$I$13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2138</c:v>
                      </c:pt>
                      <c:pt idx="1">
                        <c:v>2283</c:v>
                      </c:pt>
                      <c:pt idx="2">
                        <c:v>2331</c:v>
                      </c:pt>
                      <c:pt idx="3">
                        <c:v>2132</c:v>
                      </c:pt>
                      <c:pt idx="4">
                        <c:v>2604</c:v>
                      </c:pt>
                      <c:pt idx="5">
                        <c:v>2031</c:v>
                      </c:pt>
                      <c:pt idx="6">
                        <c:v>1234</c:v>
                      </c:pt>
                      <c:pt idx="7">
                        <c:v>1989</c:v>
                      </c:pt>
                      <c:pt idx="8">
                        <c:v>2272</c:v>
                      </c:pt>
                      <c:pt idx="9">
                        <c:v>2080</c:v>
                      </c:pt>
                      <c:pt idx="10">
                        <c:v>857</c:v>
                      </c:pt>
                      <c:pt idx="11">
                        <c:v>2499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B24-483C-942C-C674BA5B6E5B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Daten!$J$1</c15:sqref>
                        </c15:formulaRef>
                      </c:ext>
                    </c:extLst>
                    <c:strCache>
                      <c:ptCount val="1"/>
                      <c:pt idx="0">
                        <c:v>Precision      (Unwirksam)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Daten!$J$2:$J$13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0.109</c:v>
                      </c:pt>
                      <c:pt idx="1">
                        <c:v>0.13200000000000001</c:v>
                      </c:pt>
                      <c:pt idx="2">
                        <c:v>0.12</c:v>
                      </c:pt>
                      <c:pt idx="3">
                        <c:v>6.7000000000000004E-2</c:v>
                      </c:pt>
                      <c:pt idx="4">
                        <c:v>0.16300000000000001</c:v>
                      </c:pt>
                      <c:pt idx="5">
                        <c:v>8.2000000000000003E-2</c:v>
                      </c:pt>
                      <c:pt idx="6">
                        <c:v>5.8999999999999997E-2</c:v>
                      </c:pt>
                      <c:pt idx="7">
                        <c:v>8.6999999999999994E-2</c:v>
                      </c:pt>
                      <c:pt idx="8">
                        <c:v>0.1</c:v>
                      </c:pt>
                      <c:pt idx="9">
                        <c:v>8.8999999999999996E-2</c:v>
                      </c:pt>
                      <c:pt idx="10">
                        <c:v>0.06</c:v>
                      </c:pt>
                      <c:pt idx="11">
                        <c:v>0.114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CB24-483C-942C-C674BA5B6E5B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Daten!$K$1</c15:sqref>
                        </c15:formulaRef>
                      </c:ext>
                    </c:extLst>
                    <c:strCache>
                      <c:ptCount val="1"/>
                      <c:pt idx="0">
                        <c:v>Recall      (Unwirksam)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Daten!$K$2:$K$13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0.64200000000000002</c:v>
                      </c:pt>
                      <c:pt idx="1">
                        <c:v>0.63500000000000001</c:v>
                      </c:pt>
                      <c:pt idx="2">
                        <c:v>0.52600000000000002</c:v>
                      </c:pt>
                      <c:pt idx="3">
                        <c:v>0.39</c:v>
                      </c:pt>
                      <c:pt idx="4">
                        <c:v>0.36799999999999999</c:v>
                      </c:pt>
                      <c:pt idx="5">
                        <c:v>0.54</c:v>
                      </c:pt>
                      <c:pt idx="6">
                        <c:v>0.748</c:v>
                      </c:pt>
                      <c:pt idx="7">
                        <c:v>0.60299999999999998</c:v>
                      </c:pt>
                      <c:pt idx="8">
                        <c:v>0.47799999999999998</c:v>
                      </c:pt>
                      <c:pt idx="9">
                        <c:v>0.56200000000000006</c:v>
                      </c:pt>
                      <c:pt idx="10">
                        <c:v>0.94099999999999995</c:v>
                      </c:pt>
                      <c:pt idx="11">
                        <c:v>0.34300000000000003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CB24-483C-942C-C674BA5B6E5B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Daten!$L$1</c15:sqref>
                        </c15:formulaRef>
                      </c:ext>
                    </c:extLst>
                    <c:strCache>
                      <c:ptCount val="1"/>
                      <c:pt idx="0">
                        <c:v>F1      (Unwirksam)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Daten!$L$2:$L$13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0.186</c:v>
                      </c:pt>
                      <c:pt idx="1">
                        <c:v>0.219</c:v>
                      </c:pt>
                      <c:pt idx="2">
                        <c:v>0.19500000000000001</c:v>
                      </c:pt>
                      <c:pt idx="3">
                        <c:v>0.115</c:v>
                      </c:pt>
                      <c:pt idx="4">
                        <c:v>0.22600000000000001</c:v>
                      </c:pt>
                      <c:pt idx="5">
                        <c:v>0.14199999999999999</c:v>
                      </c:pt>
                      <c:pt idx="6">
                        <c:v>0.11</c:v>
                      </c:pt>
                      <c:pt idx="7">
                        <c:v>0.152</c:v>
                      </c:pt>
                      <c:pt idx="8">
                        <c:v>0.16500000000000001</c:v>
                      </c:pt>
                      <c:pt idx="9">
                        <c:v>0.154</c:v>
                      </c:pt>
                      <c:pt idx="10">
                        <c:v>0.113</c:v>
                      </c:pt>
                      <c:pt idx="11">
                        <c:v>0.17199999999999999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CB24-483C-942C-C674BA5B6E5B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Daten!$M$1</c15:sqref>
                        </c15:formulaRef>
                      </c:ext>
                    </c:extLst>
                    <c:strCache>
                      <c:ptCount val="1"/>
                      <c:pt idx="0">
                        <c:v>Precision      (Wirksam)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Daten!$M$2:$M$13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0.97799999999999998</c:v>
                      </c:pt>
                      <c:pt idx="1">
                        <c:v>0.97899999999999998</c:v>
                      </c:pt>
                      <c:pt idx="2">
                        <c:v>0.97299999999999998</c:v>
                      </c:pt>
                      <c:pt idx="3">
                        <c:v>0.96299999999999997</c:v>
                      </c:pt>
                      <c:pt idx="4">
                        <c:v>0.96799999999999997</c:v>
                      </c:pt>
                      <c:pt idx="5">
                        <c:v>0.97</c:v>
                      </c:pt>
                      <c:pt idx="6">
                        <c:v>0.97299999999999998</c:v>
                      </c:pt>
                      <c:pt idx="7">
                        <c:v>0.97399999999999998</c:v>
                      </c:pt>
                      <c:pt idx="8">
                        <c:v>0.97</c:v>
                      </c:pt>
                      <c:pt idx="9">
                        <c:v>0.97199999999999998</c:v>
                      </c:pt>
                      <c:pt idx="10">
                        <c:v>0.99099999999999999</c:v>
                      </c:pt>
                      <c:pt idx="11">
                        <c:v>0.96499999999999997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CB24-483C-942C-C674BA5B6E5B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Daten!$N$1</c15:sqref>
                        </c15:formulaRef>
                      </c:ext>
                    </c:extLst>
                    <c:strCache>
                      <c:ptCount val="1"/>
                      <c:pt idx="0">
                        <c:v>Recall (Wirksam)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Daten!$N$2:$N$13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0.748</c:v>
                      </c:pt>
                      <c:pt idx="1">
                        <c:v>0.8</c:v>
                      </c:pt>
                      <c:pt idx="2">
                        <c:v>0.81499999999999995</c:v>
                      </c:pt>
                      <c:pt idx="3">
                        <c:v>0.74399999999999999</c:v>
                      </c:pt>
                      <c:pt idx="4">
                        <c:v>0.91</c:v>
                      </c:pt>
                      <c:pt idx="5">
                        <c:v>0.71</c:v>
                      </c:pt>
                      <c:pt idx="6">
                        <c:v>0.435</c:v>
                      </c:pt>
                      <c:pt idx="7">
                        <c:v>0.69699999999999995</c:v>
                      </c:pt>
                      <c:pt idx="8">
                        <c:v>0.79400000000000004</c:v>
                      </c:pt>
                      <c:pt idx="9">
                        <c:v>0.72599999999999998</c:v>
                      </c:pt>
                      <c:pt idx="10">
                        <c:v>0.3</c:v>
                      </c:pt>
                      <c:pt idx="11">
                        <c:v>0.873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CB24-483C-942C-C674BA5B6E5B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Daten!$O$1</c15:sqref>
                        </c15:formulaRef>
                      </c:ext>
                    </c:extLst>
                    <c:strCache>
                      <c:ptCount val="1"/>
                      <c:pt idx="0">
                        <c:v>F1                           (Wirksam)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Daten!$O$2:$O$13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0.84699999999999998</c:v>
                      </c:pt>
                      <c:pt idx="1">
                        <c:v>0.88</c:v>
                      </c:pt>
                      <c:pt idx="2">
                        <c:v>0.88700000000000001</c:v>
                      </c:pt>
                      <c:pt idx="3">
                        <c:v>0.83899999999999997</c:v>
                      </c:pt>
                      <c:pt idx="4">
                        <c:v>0.93799999999999994</c:v>
                      </c:pt>
                      <c:pt idx="5">
                        <c:v>0.82</c:v>
                      </c:pt>
                      <c:pt idx="6">
                        <c:v>0.60099999999999998</c:v>
                      </c:pt>
                      <c:pt idx="7">
                        <c:v>0.81200000000000006</c:v>
                      </c:pt>
                      <c:pt idx="8">
                        <c:v>0.873</c:v>
                      </c:pt>
                      <c:pt idx="9">
                        <c:v>0.83099999999999996</c:v>
                      </c:pt>
                      <c:pt idx="10">
                        <c:v>0.46</c:v>
                      </c:pt>
                      <c:pt idx="11">
                        <c:v>0.91700000000000004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CB24-483C-942C-C674BA5B6E5B}"/>
                  </c:ext>
                </c:extLst>
              </c15:ser>
            </c15:filteredBarSeries>
            <c15:filteredB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Daten!$P$1</c15:sqref>
                        </c15:formulaRef>
                      </c:ext>
                    </c:extLst>
                    <c:strCache>
                      <c:ptCount val="1"/>
                      <c:pt idx="0">
                        <c:v>F1           (macro)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Daten!$P$2:$P$13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0.51700000000000002</c:v>
                      </c:pt>
                      <c:pt idx="1">
                        <c:v>0.55000000000000004</c:v>
                      </c:pt>
                      <c:pt idx="2">
                        <c:v>0.54100000000000004</c:v>
                      </c:pt>
                      <c:pt idx="3">
                        <c:v>0.47699999999999998</c:v>
                      </c:pt>
                      <c:pt idx="4">
                        <c:v>0.58199999999999996</c:v>
                      </c:pt>
                      <c:pt idx="5">
                        <c:v>0.48099999999999998</c:v>
                      </c:pt>
                      <c:pt idx="6">
                        <c:v>0.35499999999999998</c:v>
                      </c:pt>
                      <c:pt idx="7">
                        <c:v>0.48199999999999998</c:v>
                      </c:pt>
                      <c:pt idx="8">
                        <c:v>0.51900000000000002</c:v>
                      </c:pt>
                      <c:pt idx="9">
                        <c:v>0.49299999999999999</c:v>
                      </c:pt>
                      <c:pt idx="10">
                        <c:v>0.28699999999999998</c:v>
                      </c:pt>
                      <c:pt idx="11">
                        <c:v>0.54400000000000004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CB24-483C-942C-C674BA5B6E5B}"/>
                  </c:ext>
                </c:extLst>
              </c15:ser>
            </c15:filteredBarSeries>
            <c15:filteredBa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Daten!$Q$1</c15:sqref>
                        </c15:formulaRef>
                      </c:ext>
                    </c:extLst>
                    <c:strCache>
                      <c:ptCount val="1"/>
                      <c:pt idx="0">
                        <c:v>F1                 (weighted)</c:v>
                      </c:pt>
                    </c:strCache>
                  </c:strRef>
                </c:tx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Daten!$Q$2:$Q$13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0.81699999999999995</c:v>
                      </c:pt>
                      <c:pt idx="1">
                        <c:v>0.85</c:v>
                      </c:pt>
                      <c:pt idx="2">
                        <c:v>0.85499999999999998</c:v>
                      </c:pt>
                      <c:pt idx="3">
                        <c:v>0.80600000000000005</c:v>
                      </c:pt>
                      <c:pt idx="4">
                        <c:v>0.90600000000000003</c:v>
                      </c:pt>
                      <c:pt idx="5">
                        <c:v>0.78900000000000003</c:v>
                      </c:pt>
                      <c:pt idx="6">
                        <c:v>0.57899999999999996</c:v>
                      </c:pt>
                      <c:pt idx="7">
                        <c:v>0.78200000000000003</c:v>
                      </c:pt>
                      <c:pt idx="8">
                        <c:v>0.84099999999999997</c:v>
                      </c:pt>
                      <c:pt idx="9">
                        <c:v>0.8</c:v>
                      </c:pt>
                      <c:pt idx="10">
                        <c:v>0.44400000000000001</c:v>
                      </c:pt>
                      <c:pt idx="11">
                        <c:v>0.88300000000000001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CB24-483C-942C-C674BA5B6E5B}"/>
                  </c:ext>
                </c:extLst>
              </c15:ser>
            </c15:filteredBarSeries>
            <c15:filteredBa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Daten!$R$1</c15:sqref>
                        </c15:formulaRef>
                      </c:ext>
                    </c:extLst>
                    <c:strCache>
                      <c:ptCount val="1"/>
                      <c:pt idx="0">
                        <c:v>Precision       Macro</c:v>
                      </c:pt>
                    </c:strCache>
                  </c:strRef>
                </c:tx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Daten!$R$2:$R$13</c15:sqref>
                        </c15:formulaRef>
                      </c:ext>
                    </c:extLst>
                    <c:numCache>
                      <c:formatCode>0.000</c:formatCode>
                      <c:ptCount val="12"/>
                      <c:pt idx="0">
                        <c:v>0.54349999999999998</c:v>
                      </c:pt>
                      <c:pt idx="1">
                        <c:v>0.55549999999999999</c:v>
                      </c:pt>
                      <c:pt idx="2">
                        <c:v>0.54649999999999999</c:v>
                      </c:pt>
                      <c:pt idx="3">
                        <c:v>0.51500000000000001</c:v>
                      </c:pt>
                      <c:pt idx="4">
                        <c:v>0.5655</c:v>
                      </c:pt>
                      <c:pt idx="5">
                        <c:v>0.52600000000000002</c:v>
                      </c:pt>
                      <c:pt idx="6">
                        <c:v>0.51600000000000001</c:v>
                      </c:pt>
                      <c:pt idx="7">
                        <c:v>0.53049999999999997</c:v>
                      </c:pt>
                      <c:pt idx="8">
                        <c:v>0.53500000000000003</c:v>
                      </c:pt>
                      <c:pt idx="9">
                        <c:v>0.53049999999999997</c:v>
                      </c:pt>
                      <c:pt idx="10">
                        <c:v>0.52549999999999997</c:v>
                      </c:pt>
                      <c:pt idx="11">
                        <c:v>0.53949999999999998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CB24-483C-942C-C674BA5B6E5B}"/>
                  </c:ext>
                </c:extLst>
              </c15:ser>
            </c15:filteredBarSeries>
            <c15:filteredBa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Daten!$S$1</c15:sqref>
                        </c15:formulaRef>
                      </c:ext>
                    </c:extLst>
                    <c:strCache>
                      <c:ptCount val="1"/>
                      <c:pt idx="0">
                        <c:v> Prec                 Micro</c:v>
                      </c:pt>
                    </c:strCache>
                  </c:strRef>
                </c:tx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Daten!$S$2:$S$13</c15:sqref>
                        </c15:formulaRef>
                      </c:ext>
                    </c:extLst>
                    <c:numCache>
                      <c:formatCode>0.000</c:formatCode>
                      <c:ptCount val="12"/>
                      <c:pt idx="0">
                        <c:v>0.10877626699629171</c:v>
                      </c:pt>
                      <c:pt idx="1">
                        <c:v>0.13242009132420091</c:v>
                      </c:pt>
                      <c:pt idx="2">
                        <c:v>0.11960132890365449</c:v>
                      </c:pt>
                      <c:pt idx="3">
                        <c:v>6.734434561626429E-2</c:v>
                      </c:pt>
                      <c:pt idx="4">
                        <c:v>0.16339869281045752</c:v>
                      </c:pt>
                      <c:pt idx="5">
                        <c:v>8.185840707964602E-2</c:v>
                      </c:pt>
                      <c:pt idx="6">
                        <c:v>5.9237536656891493E-2</c:v>
                      </c:pt>
                      <c:pt idx="7">
                        <c:v>8.6680761099365747E-2</c:v>
                      </c:pt>
                      <c:pt idx="8">
                        <c:v>9.9540581929555894E-2</c:v>
                      </c:pt>
                      <c:pt idx="9">
                        <c:v>8.9327146171693739E-2</c:v>
                      </c:pt>
                      <c:pt idx="10">
                        <c:v>6.0093896713615022E-2</c:v>
                      </c:pt>
                      <c:pt idx="11">
                        <c:v>0.11435523114355231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CB24-483C-942C-C674BA5B6E5B}"/>
                  </c:ext>
                </c:extLst>
              </c15:ser>
            </c15:filteredBarSeries>
          </c:ext>
        </c:extLst>
      </c:barChart>
      <c:catAx>
        <c:axId val="110115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01152736"/>
        <c:crosses val="autoZero"/>
        <c:auto val="1"/>
        <c:lblAlgn val="ctr"/>
        <c:lblOffset val="100"/>
        <c:noMultiLvlLbl val="0"/>
      </c:catAx>
      <c:valAx>
        <c:axId val="110115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01157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F1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20"/>
          <c:order val="20"/>
          <c:tx>
            <c:strRef>
              <c:f>Daten!$V$1</c:f>
              <c:strCache>
                <c:ptCount val="1"/>
                <c:pt idx="0">
                  <c:v>F1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Daten!$A$2:$A$13</c:f>
              <c:strCache>
                <c:ptCount val="12"/>
                <c:pt idx="0">
                  <c:v>Grok-3</c:v>
                </c:pt>
                <c:pt idx="1">
                  <c:v>GPT5</c:v>
                </c:pt>
                <c:pt idx="2">
                  <c:v>GPT4</c:v>
                </c:pt>
                <c:pt idx="3">
                  <c:v>OSS120B</c:v>
                </c:pt>
                <c:pt idx="4">
                  <c:v>GPT o4-mini</c:v>
                </c:pt>
                <c:pt idx="5">
                  <c:v>DeepseekR1</c:v>
                </c:pt>
                <c:pt idx="6">
                  <c:v>OSS20B</c:v>
                </c:pt>
                <c:pt idx="7">
                  <c:v>Gemma27B</c:v>
                </c:pt>
                <c:pt idx="8">
                  <c:v>Mistral8B</c:v>
                </c:pt>
                <c:pt idx="9">
                  <c:v>LLama38B</c:v>
                </c:pt>
                <c:pt idx="10">
                  <c:v>Llama3DiscoLeo8B</c:v>
                </c:pt>
                <c:pt idx="11">
                  <c:v>GeminiFlashLite2.5</c:v>
                </c:pt>
              </c:strCache>
            </c:strRef>
          </c:cat>
          <c:val>
            <c:numRef>
              <c:f>Daten!$V$2:$V$13</c:f>
              <c:numCache>
                <c:formatCode>0.000</c:formatCode>
                <c:ptCount val="12"/>
                <c:pt idx="0">
                  <c:v>0.18604651162790695</c:v>
                </c:pt>
                <c:pt idx="1">
                  <c:v>0.21914357682619648</c:v>
                </c:pt>
                <c:pt idx="2">
                  <c:v>0.19485791610284167</c:v>
                </c:pt>
                <c:pt idx="3">
                  <c:v>0.11484290357529793</c:v>
                </c:pt>
                <c:pt idx="4">
                  <c:v>0.22624434389140272</c:v>
                </c:pt>
                <c:pt idx="5">
                  <c:v>0.14217098943323728</c:v>
                </c:pt>
                <c:pt idx="6">
                  <c:v>0.10978260869565218</c:v>
                </c:pt>
                <c:pt idx="7">
                  <c:v>0.15157116451016636</c:v>
                </c:pt>
                <c:pt idx="8">
                  <c:v>0.16476552598225602</c:v>
                </c:pt>
                <c:pt idx="9">
                  <c:v>0.15415415415415418</c:v>
                </c:pt>
                <c:pt idx="10">
                  <c:v>0.11297440423654015</c:v>
                </c:pt>
                <c:pt idx="11">
                  <c:v>0.17153284671532848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F7A1-4E08-B959-EADD8A58FB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1157056"/>
        <c:axId val="110115273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Daten!$B$1</c15:sqref>
                        </c15:formulaRef>
                      </c:ext>
                    </c:extLst>
                    <c:strCache>
                      <c:ptCount val="1"/>
                      <c:pt idx="0">
                        <c:v>Gesamtanzahl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Daten!$B$2:$B$13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3004</c:v>
                      </c:pt>
                      <c:pt idx="1">
                        <c:v>3004</c:v>
                      </c:pt>
                      <c:pt idx="2">
                        <c:v>3004</c:v>
                      </c:pt>
                      <c:pt idx="3">
                        <c:v>3004</c:v>
                      </c:pt>
                      <c:pt idx="4">
                        <c:v>3004</c:v>
                      </c:pt>
                      <c:pt idx="5">
                        <c:v>3004</c:v>
                      </c:pt>
                      <c:pt idx="6">
                        <c:v>3004</c:v>
                      </c:pt>
                      <c:pt idx="7">
                        <c:v>3004</c:v>
                      </c:pt>
                      <c:pt idx="8">
                        <c:v>3004</c:v>
                      </c:pt>
                      <c:pt idx="9">
                        <c:v>3004</c:v>
                      </c:pt>
                      <c:pt idx="10">
                        <c:v>3004</c:v>
                      </c:pt>
                      <c:pt idx="11">
                        <c:v>3004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F7A1-4E08-B959-EADD8A58FB83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Daten!$C$1</c15:sqref>
                        </c15:formulaRef>
                      </c:ext>
                    </c:extLst>
                    <c:strCache>
                      <c:ptCount val="1"/>
                      <c:pt idx="0">
                        <c:v>Anzahl_Klassifikationen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Daten!$C$2:$C$13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2996</c:v>
                      </c:pt>
                      <c:pt idx="1">
                        <c:v>2990</c:v>
                      </c:pt>
                      <c:pt idx="2">
                        <c:v>2998</c:v>
                      </c:pt>
                      <c:pt idx="3">
                        <c:v>3002</c:v>
                      </c:pt>
                      <c:pt idx="4">
                        <c:v>2996</c:v>
                      </c:pt>
                      <c:pt idx="5">
                        <c:v>2998</c:v>
                      </c:pt>
                      <c:pt idx="6">
                        <c:v>2973</c:v>
                      </c:pt>
                      <c:pt idx="7">
                        <c:v>2989</c:v>
                      </c:pt>
                      <c:pt idx="8">
                        <c:v>2996</c:v>
                      </c:pt>
                      <c:pt idx="9">
                        <c:v>3002</c:v>
                      </c:pt>
                      <c:pt idx="10">
                        <c:v>2995</c:v>
                      </c:pt>
                      <c:pt idx="11">
                        <c:v>3000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F7A1-4E08-B959-EADD8A58FB83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Daten!$D$1</c15:sqref>
                        </c15:formulaRef>
                      </c:ext>
                    </c:extLst>
                    <c:strCache>
                      <c:ptCount val="1"/>
                      <c:pt idx="0">
                        <c:v>Fehlende ('-'/NaN/leer)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Daten!$D$2:$D$13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</c:v>
                      </c:pt>
                      <c:pt idx="1">
                        <c:v>14</c:v>
                      </c:pt>
                      <c:pt idx="2">
                        <c:v>6</c:v>
                      </c:pt>
                      <c:pt idx="3">
                        <c:v>2</c:v>
                      </c:pt>
                      <c:pt idx="4">
                        <c:v>8</c:v>
                      </c:pt>
                      <c:pt idx="5">
                        <c:v>6</c:v>
                      </c:pt>
                      <c:pt idx="6">
                        <c:v>31</c:v>
                      </c:pt>
                      <c:pt idx="7">
                        <c:v>15</c:v>
                      </c:pt>
                      <c:pt idx="8">
                        <c:v>8</c:v>
                      </c:pt>
                      <c:pt idx="9">
                        <c:v>2</c:v>
                      </c:pt>
                      <c:pt idx="10">
                        <c:v>9</c:v>
                      </c:pt>
                      <c:pt idx="11">
                        <c:v>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7A1-4E08-B959-EADD8A58FB8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Daten!$E$1</c15:sqref>
                        </c15:formulaRef>
                      </c:ext>
                    </c:extLst>
                    <c:strCache>
                      <c:ptCount val="1"/>
                      <c:pt idx="0">
                        <c:v>Accuracy (bereinigt)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Daten!$E$2:$E$13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0.74299999999999999</c:v>
                      </c:pt>
                      <c:pt idx="1">
                        <c:v>0.79300000000000004</c:v>
                      </c:pt>
                      <c:pt idx="2">
                        <c:v>0.80200000000000005</c:v>
                      </c:pt>
                      <c:pt idx="3">
                        <c:v>0.72799999999999998</c:v>
                      </c:pt>
                      <c:pt idx="4">
                        <c:v>0.88600000000000001</c:v>
                      </c:pt>
                      <c:pt idx="5">
                        <c:v>0.70199999999999996</c:v>
                      </c:pt>
                      <c:pt idx="6">
                        <c:v>0.44900000000000001</c:v>
                      </c:pt>
                      <c:pt idx="7">
                        <c:v>0.69299999999999995</c:v>
                      </c:pt>
                      <c:pt idx="8">
                        <c:v>0.78</c:v>
                      </c:pt>
                      <c:pt idx="9">
                        <c:v>0.71899999999999997</c:v>
                      </c:pt>
                      <c:pt idx="10">
                        <c:v>0.32900000000000001</c:v>
                      </c:pt>
                      <c:pt idx="11">
                        <c:v>0.84899999999999998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7A1-4E08-B959-EADD8A58FB83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Daten!$F$1</c15:sqref>
                        </c15:formulaRef>
                      </c:ext>
                    </c:extLst>
                    <c:strCache>
                      <c:ptCount val="1"/>
                      <c:pt idx="0">
                        <c:v>TP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Daten!$F$2:$F$13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88</c:v>
                      </c:pt>
                      <c:pt idx="1">
                        <c:v>87</c:v>
                      </c:pt>
                      <c:pt idx="2">
                        <c:v>72</c:v>
                      </c:pt>
                      <c:pt idx="3">
                        <c:v>53</c:v>
                      </c:pt>
                      <c:pt idx="4">
                        <c:v>50</c:v>
                      </c:pt>
                      <c:pt idx="5">
                        <c:v>74</c:v>
                      </c:pt>
                      <c:pt idx="6">
                        <c:v>101</c:v>
                      </c:pt>
                      <c:pt idx="7">
                        <c:v>82</c:v>
                      </c:pt>
                      <c:pt idx="8">
                        <c:v>65</c:v>
                      </c:pt>
                      <c:pt idx="9">
                        <c:v>77</c:v>
                      </c:pt>
                      <c:pt idx="10">
                        <c:v>128</c:v>
                      </c:pt>
                      <c:pt idx="11">
                        <c:v>47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7A1-4E08-B959-EADD8A58FB83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Daten!$G$1</c15:sqref>
                        </c15:formulaRef>
                      </c:ext>
                    </c:extLst>
                    <c:strCache>
                      <c:ptCount val="1"/>
                      <c:pt idx="0">
                        <c:v>FP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Daten!$G$2:$G$13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721</c:v>
                      </c:pt>
                      <c:pt idx="1">
                        <c:v>570</c:v>
                      </c:pt>
                      <c:pt idx="2">
                        <c:v>530</c:v>
                      </c:pt>
                      <c:pt idx="3">
                        <c:v>734</c:v>
                      </c:pt>
                      <c:pt idx="4">
                        <c:v>256</c:v>
                      </c:pt>
                      <c:pt idx="5">
                        <c:v>830</c:v>
                      </c:pt>
                      <c:pt idx="6">
                        <c:v>1604</c:v>
                      </c:pt>
                      <c:pt idx="7">
                        <c:v>864</c:v>
                      </c:pt>
                      <c:pt idx="8">
                        <c:v>588</c:v>
                      </c:pt>
                      <c:pt idx="9">
                        <c:v>785</c:v>
                      </c:pt>
                      <c:pt idx="10">
                        <c:v>2002</c:v>
                      </c:pt>
                      <c:pt idx="11">
                        <c:v>364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7A1-4E08-B959-EADD8A58FB83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Daten!$H$1</c15:sqref>
                        </c15:formulaRef>
                      </c:ext>
                    </c:extLst>
                    <c:strCache>
                      <c:ptCount val="1"/>
                      <c:pt idx="0">
                        <c:v>FN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Daten!$H$2:$H$13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49</c:v>
                      </c:pt>
                      <c:pt idx="1">
                        <c:v>50</c:v>
                      </c:pt>
                      <c:pt idx="2">
                        <c:v>65</c:v>
                      </c:pt>
                      <c:pt idx="3">
                        <c:v>83</c:v>
                      </c:pt>
                      <c:pt idx="4">
                        <c:v>86</c:v>
                      </c:pt>
                      <c:pt idx="5">
                        <c:v>63</c:v>
                      </c:pt>
                      <c:pt idx="6">
                        <c:v>34</c:v>
                      </c:pt>
                      <c:pt idx="7">
                        <c:v>54</c:v>
                      </c:pt>
                      <c:pt idx="8">
                        <c:v>71</c:v>
                      </c:pt>
                      <c:pt idx="9">
                        <c:v>60</c:v>
                      </c:pt>
                      <c:pt idx="10">
                        <c:v>8</c:v>
                      </c:pt>
                      <c:pt idx="11">
                        <c:v>90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F7A1-4E08-B959-EADD8A58FB83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Daten!$I$1</c15:sqref>
                        </c15:formulaRef>
                      </c:ext>
                    </c:extLst>
                    <c:strCache>
                      <c:ptCount val="1"/>
                      <c:pt idx="0">
                        <c:v>TN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Daten!$I$2:$I$13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2138</c:v>
                      </c:pt>
                      <c:pt idx="1">
                        <c:v>2283</c:v>
                      </c:pt>
                      <c:pt idx="2">
                        <c:v>2331</c:v>
                      </c:pt>
                      <c:pt idx="3">
                        <c:v>2132</c:v>
                      </c:pt>
                      <c:pt idx="4">
                        <c:v>2604</c:v>
                      </c:pt>
                      <c:pt idx="5">
                        <c:v>2031</c:v>
                      </c:pt>
                      <c:pt idx="6">
                        <c:v>1234</c:v>
                      </c:pt>
                      <c:pt idx="7">
                        <c:v>1989</c:v>
                      </c:pt>
                      <c:pt idx="8">
                        <c:v>2272</c:v>
                      </c:pt>
                      <c:pt idx="9">
                        <c:v>2080</c:v>
                      </c:pt>
                      <c:pt idx="10">
                        <c:v>857</c:v>
                      </c:pt>
                      <c:pt idx="11">
                        <c:v>2499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7A1-4E08-B959-EADD8A58FB83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Daten!$J$1</c15:sqref>
                        </c15:formulaRef>
                      </c:ext>
                    </c:extLst>
                    <c:strCache>
                      <c:ptCount val="1"/>
                      <c:pt idx="0">
                        <c:v>Precision      (Unwirksam)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Daten!$J$2:$J$13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0.109</c:v>
                      </c:pt>
                      <c:pt idx="1">
                        <c:v>0.13200000000000001</c:v>
                      </c:pt>
                      <c:pt idx="2">
                        <c:v>0.12</c:v>
                      </c:pt>
                      <c:pt idx="3">
                        <c:v>6.7000000000000004E-2</c:v>
                      </c:pt>
                      <c:pt idx="4">
                        <c:v>0.16300000000000001</c:v>
                      </c:pt>
                      <c:pt idx="5">
                        <c:v>8.2000000000000003E-2</c:v>
                      </c:pt>
                      <c:pt idx="6">
                        <c:v>5.8999999999999997E-2</c:v>
                      </c:pt>
                      <c:pt idx="7">
                        <c:v>8.6999999999999994E-2</c:v>
                      </c:pt>
                      <c:pt idx="8">
                        <c:v>0.1</c:v>
                      </c:pt>
                      <c:pt idx="9">
                        <c:v>8.8999999999999996E-2</c:v>
                      </c:pt>
                      <c:pt idx="10">
                        <c:v>0.06</c:v>
                      </c:pt>
                      <c:pt idx="11">
                        <c:v>0.114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F7A1-4E08-B959-EADD8A58FB83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Daten!$K$1</c15:sqref>
                        </c15:formulaRef>
                      </c:ext>
                    </c:extLst>
                    <c:strCache>
                      <c:ptCount val="1"/>
                      <c:pt idx="0">
                        <c:v>Recall      (Unwirksam)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Daten!$K$2:$K$13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0.64200000000000002</c:v>
                      </c:pt>
                      <c:pt idx="1">
                        <c:v>0.63500000000000001</c:v>
                      </c:pt>
                      <c:pt idx="2">
                        <c:v>0.52600000000000002</c:v>
                      </c:pt>
                      <c:pt idx="3">
                        <c:v>0.39</c:v>
                      </c:pt>
                      <c:pt idx="4">
                        <c:v>0.36799999999999999</c:v>
                      </c:pt>
                      <c:pt idx="5">
                        <c:v>0.54</c:v>
                      </c:pt>
                      <c:pt idx="6">
                        <c:v>0.748</c:v>
                      </c:pt>
                      <c:pt idx="7">
                        <c:v>0.60299999999999998</c:v>
                      </c:pt>
                      <c:pt idx="8">
                        <c:v>0.47799999999999998</c:v>
                      </c:pt>
                      <c:pt idx="9">
                        <c:v>0.56200000000000006</c:v>
                      </c:pt>
                      <c:pt idx="10">
                        <c:v>0.94099999999999995</c:v>
                      </c:pt>
                      <c:pt idx="11">
                        <c:v>0.34300000000000003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F7A1-4E08-B959-EADD8A58FB83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Daten!$L$1</c15:sqref>
                        </c15:formulaRef>
                      </c:ext>
                    </c:extLst>
                    <c:strCache>
                      <c:ptCount val="1"/>
                      <c:pt idx="0">
                        <c:v>F1      (Unwirksam)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Daten!$L$2:$L$13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0.186</c:v>
                      </c:pt>
                      <c:pt idx="1">
                        <c:v>0.219</c:v>
                      </c:pt>
                      <c:pt idx="2">
                        <c:v>0.19500000000000001</c:v>
                      </c:pt>
                      <c:pt idx="3">
                        <c:v>0.115</c:v>
                      </c:pt>
                      <c:pt idx="4">
                        <c:v>0.22600000000000001</c:v>
                      </c:pt>
                      <c:pt idx="5">
                        <c:v>0.14199999999999999</c:v>
                      </c:pt>
                      <c:pt idx="6">
                        <c:v>0.11</c:v>
                      </c:pt>
                      <c:pt idx="7">
                        <c:v>0.152</c:v>
                      </c:pt>
                      <c:pt idx="8">
                        <c:v>0.16500000000000001</c:v>
                      </c:pt>
                      <c:pt idx="9">
                        <c:v>0.154</c:v>
                      </c:pt>
                      <c:pt idx="10">
                        <c:v>0.113</c:v>
                      </c:pt>
                      <c:pt idx="11">
                        <c:v>0.17199999999999999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F7A1-4E08-B959-EADD8A58FB83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Daten!$M$1</c15:sqref>
                        </c15:formulaRef>
                      </c:ext>
                    </c:extLst>
                    <c:strCache>
                      <c:ptCount val="1"/>
                      <c:pt idx="0">
                        <c:v>Precision      (Wirksam)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Daten!$M$2:$M$13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0.97799999999999998</c:v>
                      </c:pt>
                      <c:pt idx="1">
                        <c:v>0.97899999999999998</c:v>
                      </c:pt>
                      <c:pt idx="2">
                        <c:v>0.97299999999999998</c:v>
                      </c:pt>
                      <c:pt idx="3">
                        <c:v>0.96299999999999997</c:v>
                      </c:pt>
                      <c:pt idx="4">
                        <c:v>0.96799999999999997</c:v>
                      </c:pt>
                      <c:pt idx="5">
                        <c:v>0.97</c:v>
                      </c:pt>
                      <c:pt idx="6">
                        <c:v>0.97299999999999998</c:v>
                      </c:pt>
                      <c:pt idx="7">
                        <c:v>0.97399999999999998</c:v>
                      </c:pt>
                      <c:pt idx="8">
                        <c:v>0.97</c:v>
                      </c:pt>
                      <c:pt idx="9">
                        <c:v>0.97199999999999998</c:v>
                      </c:pt>
                      <c:pt idx="10">
                        <c:v>0.99099999999999999</c:v>
                      </c:pt>
                      <c:pt idx="11">
                        <c:v>0.96499999999999997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F7A1-4E08-B959-EADD8A58FB83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Daten!$N$1</c15:sqref>
                        </c15:formulaRef>
                      </c:ext>
                    </c:extLst>
                    <c:strCache>
                      <c:ptCount val="1"/>
                      <c:pt idx="0">
                        <c:v>Recall (Wirksam)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Daten!$N$2:$N$13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0.748</c:v>
                      </c:pt>
                      <c:pt idx="1">
                        <c:v>0.8</c:v>
                      </c:pt>
                      <c:pt idx="2">
                        <c:v>0.81499999999999995</c:v>
                      </c:pt>
                      <c:pt idx="3">
                        <c:v>0.74399999999999999</c:v>
                      </c:pt>
                      <c:pt idx="4">
                        <c:v>0.91</c:v>
                      </c:pt>
                      <c:pt idx="5">
                        <c:v>0.71</c:v>
                      </c:pt>
                      <c:pt idx="6">
                        <c:v>0.435</c:v>
                      </c:pt>
                      <c:pt idx="7">
                        <c:v>0.69699999999999995</c:v>
                      </c:pt>
                      <c:pt idx="8">
                        <c:v>0.79400000000000004</c:v>
                      </c:pt>
                      <c:pt idx="9">
                        <c:v>0.72599999999999998</c:v>
                      </c:pt>
                      <c:pt idx="10">
                        <c:v>0.3</c:v>
                      </c:pt>
                      <c:pt idx="11">
                        <c:v>0.873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F7A1-4E08-B959-EADD8A58FB83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Daten!$O$1</c15:sqref>
                        </c15:formulaRef>
                      </c:ext>
                    </c:extLst>
                    <c:strCache>
                      <c:ptCount val="1"/>
                      <c:pt idx="0">
                        <c:v>F1                           (Wirksam)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Daten!$O$2:$O$13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0.84699999999999998</c:v>
                      </c:pt>
                      <c:pt idx="1">
                        <c:v>0.88</c:v>
                      </c:pt>
                      <c:pt idx="2">
                        <c:v>0.88700000000000001</c:v>
                      </c:pt>
                      <c:pt idx="3">
                        <c:v>0.83899999999999997</c:v>
                      </c:pt>
                      <c:pt idx="4">
                        <c:v>0.93799999999999994</c:v>
                      </c:pt>
                      <c:pt idx="5">
                        <c:v>0.82</c:v>
                      </c:pt>
                      <c:pt idx="6">
                        <c:v>0.60099999999999998</c:v>
                      </c:pt>
                      <c:pt idx="7">
                        <c:v>0.81200000000000006</c:v>
                      </c:pt>
                      <c:pt idx="8">
                        <c:v>0.873</c:v>
                      </c:pt>
                      <c:pt idx="9">
                        <c:v>0.83099999999999996</c:v>
                      </c:pt>
                      <c:pt idx="10">
                        <c:v>0.46</c:v>
                      </c:pt>
                      <c:pt idx="11">
                        <c:v>0.91700000000000004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F7A1-4E08-B959-EADD8A58FB83}"/>
                  </c:ext>
                </c:extLst>
              </c15:ser>
            </c15:filteredBarSeries>
            <c15:filteredB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Daten!$P$1</c15:sqref>
                        </c15:formulaRef>
                      </c:ext>
                    </c:extLst>
                    <c:strCache>
                      <c:ptCount val="1"/>
                      <c:pt idx="0">
                        <c:v>F1           (macro)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Daten!$P$2:$P$13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0.51700000000000002</c:v>
                      </c:pt>
                      <c:pt idx="1">
                        <c:v>0.55000000000000004</c:v>
                      </c:pt>
                      <c:pt idx="2">
                        <c:v>0.54100000000000004</c:v>
                      </c:pt>
                      <c:pt idx="3">
                        <c:v>0.47699999999999998</c:v>
                      </c:pt>
                      <c:pt idx="4">
                        <c:v>0.58199999999999996</c:v>
                      </c:pt>
                      <c:pt idx="5">
                        <c:v>0.48099999999999998</c:v>
                      </c:pt>
                      <c:pt idx="6">
                        <c:v>0.35499999999999998</c:v>
                      </c:pt>
                      <c:pt idx="7">
                        <c:v>0.48199999999999998</c:v>
                      </c:pt>
                      <c:pt idx="8">
                        <c:v>0.51900000000000002</c:v>
                      </c:pt>
                      <c:pt idx="9">
                        <c:v>0.49299999999999999</c:v>
                      </c:pt>
                      <c:pt idx="10">
                        <c:v>0.28699999999999998</c:v>
                      </c:pt>
                      <c:pt idx="11">
                        <c:v>0.54400000000000004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F7A1-4E08-B959-EADD8A58FB83}"/>
                  </c:ext>
                </c:extLst>
              </c15:ser>
            </c15:filteredBarSeries>
            <c15:filteredBa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Daten!$Q$1</c15:sqref>
                        </c15:formulaRef>
                      </c:ext>
                    </c:extLst>
                    <c:strCache>
                      <c:ptCount val="1"/>
                      <c:pt idx="0">
                        <c:v>F1                 (weighted)</c:v>
                      </c:pt>
                    </c:strCache>
                  </c:strRef>
                </c:tx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Daten!$Q$2:$Q$13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0.81699999999999995</c:v>
                      </c:pt>
                      <c:pt idx="1">
                        <c:v>0.85</c:v>
                      </c:pt>
                      <c:pt idx="2">
                        <c:v>0.85499999999999998</c:v>
                      </c:pt>
                      <c:pt idx="3">
                        <c:v>0.80600000000000005</c:v>
                      </c:pt>
                      <c:pt idx="4">
                        <c:v>0.90600000000000003</c:v>
                      </c:pt>
                      <c:pt idx="5">
                        <c:v>0.78900000000000003</c:v>
                      </c:pt>
                      <c:pt idx="6">
                        <c:v>0.57899999999999996</c:v>
                      </c:pt>
                      <c:pt idx="7">
                        <c:v>0.78200000000000003</c:v>
                      </c:pt>
                      <c:pt idx="8">
                        <c:v>0.84099999999999997</c:v>
                      </c:pt>
                      <c:pt idx="9">
                        <c:v>0.8</c:v>
                      </c:pt>
                      <c:pt idx="10">
                        <c:v>0.44400000000000001</c:v>
                      </c:pt>
                      <c:pt idx="11">
                        <c:v>0.88300000000000001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F7A1-4E08-B959-EADD8A58FB83}"/>
                  </c:ext>
                </c:extLst>
              </c15:ser>
            </c15:filteredBarSeries>
            <c15:filteredBa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Daten!$R$1</c15:sqref>
                        </c15:formulaRef>
                      </c:ext>
                    </c:extLst>
                    <c:strCache>
                      <c:ptCount val="1"/>
                      <c:pt idx="0">
                        <c:v>Precision       Macro</c:v>
                      </c:pt>
                    </c:strCache>
                  </c:strRef>
                </c:tx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Daten!$R$2:$R$13</c15:sqref>
                        </c15:formulaRef>
                      </c:ext>
                    </c:extLst>
                    <c:numCache>
                      <c:formatCode>0.000</c:formatCode>
                      <c:ptCount val="12"/>
                      <c:pt idx="0">
                        <c:v>0.54349999999999998</c:v>
                      </c:pt>
                      <c:pt idx="1">
                        <c:v>0.55549999999999999</c:v>
                      </c:pt>
                      <c:pt idx="2">
                        <c:v>0.54649999999999999</c:v>
                      </c:pt>
                      <c:pt idx="3">
                        <c:v>0.51500000000000001</c:v>
                      </c:pt>
                      <c:pt idx="4">
                        <c:v>0.5655</c:v>
                      </c:pt>
                      <c:pt idx="5">
                        <c:v>0.52600000000000002</c:v>
                      </c:pt>
                      <c:pt idx="6">
                        <c:v>0.51600000000000001</c:v>
                      </c:pt>
                      <c:pt idx="7">
                        <c:v>0.53049999999999997</c:v>
                      </c:pt>
                      <c:pt idx="8">
                        <c:v>0.53500000000000003</c:v>
                      </c:pt>
                      <c:pt idx="9">
                        <c:v>0.53049999999999997</c:v>
                      </c:pt>
                      <c:pt idx="10">
                        <c:v>0.52549999999999997</c:v>
                      </c:pt>
                      <c:pt idx="11">
                        <c:v>0.53949999999999998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F7A1-4E08-B959-EADD8A58FB83}"/>
                  </c:ext>
                </c:extLst>
              </c15:ser>
            </c15:filteredBarSeries>
            <c15:filteredBa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Daten!$S$1</c15:sqref>
                        </c15:formulaRef>
                      </c:ext>
                    </c:extLst>
                    <c:strCache>
                      <c:ptCount val="1"/>
                      <c:pt idx="0">
                        <c:v> Prec                 Micro</c:v>
                      </c:pt>
                    </c:strCache>
                  </c:strRef>
                </c:tx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Daten!$S$2:$S$13</c15:sqref>
                        </c15:formulaRef>
                      </c:ext>
                    </c:extLst>
                    <c:numCache>
                      <c:formatCode>0.000</c:formatCode>
                      <c:ptCount val="12"/>
                      <c:pt idx="0">
                        <c:v>0.10877626699629171</c:v>
                      </c:pt>
                      <c:pt idx="1">
                        <c:v>0.13242009132420091</c:v>
                      </c:pt>
                      <c:pt idx="2">
                        <c:v>0.11960132890365449</c:v>
                      </c:pt>
                      <c:pt idx="3">
                        <c:v>6.734434561626429E-2</c:v>
                      </c:pt>
                      <c:pt idx="4">
                        <c:v>0.16339869281045752</c:v>
                      </c:pt>
                      <c:pt idx="5">
                        <c:v>8.185840707964602E-2</c:v>
                      </c:pt>
                      <c:pt idx="6">
                        <c:v>5.9237536656891493E-2</c:v>
                      </c:pt>
                      <c:pt idx="7">
                        <c:v>8.6680761099365747E-2</c:v>
                      </c:pt>
                      <c:pt idx="8">
                        <c:v>9.9540581929555894E-2</c:v>
                      </c:pt>
                      <c:pt idx="9">
                        <c:v>8.9327146171693739E-2</c:v>
                      </c:pt>
                      <c:pt idx="10">
                        <c:v>6.0093896713615022E-2</c:v>
                      </c:pt>
                      <c:pt idx="11">
                        <c:v>0.11435523114355231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F7A1-4E08-B959-EADD8A58FB83}"/>
                  </c:ext>
                </c:extLst>
              </c15:ser>
            </c15:filteredBarSeries>
            <c15:filteredBa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Daten!$T$1</c15:sqref>
                        </c15:formulaRef>
                      </c:ext>
                    </c:extLst>
                    <c:strCache>
                      <c:ptCount val="1"/>
                      <c:pt idx="0">
                        <c:v>Recall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Daten!$T$2:$T$13</c15:sqref>
                        </c15:formulaRef>
                      </c:ext>
                    </c:extLst>
                    <c:numCache>
                      <c:formatCode>0.000</c:formatCode>
                      <c:ptCount val="12"/>
                      <c:pt idx="0">
                        <c:v>0.64233576642335766</c:v>
                      </c:pt>
                      <c:pt idx="1">
                        <c:v>0.63503649635036497</c:v>
                      </c:pt>
                      <c:pt idx="2">
                        <c:v>0.52554744525547448</c:v>
                      </c:pt>
                      <c:pt idx="3">
                        <c:v>0.38970588235294118</c:v>
                      </c:pt>
                      <c:pt idx="4">
                        <c:v>0.36764705882352944</c:v>
                      </c:pt>
                      <c:pt idx="5">
                        <c:v>0.54014598540145986</c:v>
                      </c:pt>
                      <c:pt idx="6">
                        <c:v>0.74814814814814812</c:v>
                      </c:pt>
                      <c:pt idx="7">
                        <c:v>0.6029411764705882</c:v>
                      </c:pt>
                      <c:pt idx="8">
                        <c:v>0.47794117647058826</c:v>
                      </c:pt>
                      <c:pt idx="9">
                        <c:v>0.56204379562043794</c:v>
                      </c:pt>
                      <c:pt idx="10">
                        <c:v>0.94117647058823528</c:v>
                      </c:pt>
                      <c:pt idx="11">
                        <c:v>0.34306569343065696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F7A1-4E08-B959-EADD8A58FB83}"/>
                  </c:ext>
                </c:extLst>
              </c15:ser>
            </c15:filteredBarSeries>
            <c15:filteredBa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Daten!$U$1</c15:sqref>
                        </c15:formulaRef>
                      </c:ext>
                    </c:extLst>
                    <c:strCache>
                      <c:ptCount val="1"/>
                      <c:pt idx="0">
                        <c:v>Prec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Daten!$U$2:$U$13</c15:sqref>
                        </c15:formulaRef>
                      </c:ext>
                    </c:extLst>
                    <c:numCache>
                      <c:formatCode>0.000</c:formatCode>
                      <c:ptCount val="12"/>
                      <c:pt idx="0">
                        <c:v>0.10877626699629171</c:v>
                      </c:pt>
                      <c:pt idx="1">
                        <c:v>0.13242009132420091</c:v>
                      </c:pt>
                      <c:pt idx="2">
                        <c:v>0.11960132890365449</c:v>
                      </c:pt>
                      <c:pt idx="3">
                        <c:v>6.734434561626429E-2</c:v>
                      </c:pt>
                      <c:pt idx="4">
                        <c:v>0.16339869281045752</c:v>
                      </c:pt>
                      <c:pt idx="5">
                        <c:v>8.185840707964602E-2</c:v>
                      </c:pt>
                      <c:pt idx="6">
                        <c:v>5.9237536656891493E-2</c:v>
                      </c:pt>
                      <c:pt idx="7">
                        <c:v>8.6680761099365747E-2</c:v>
                      </c:pt>
                      <c:pt idx="8">
                        <c:v>9.9540581929555894E-2</c:v>
                      </c:pt>
                      <c:pt idx="9">
                        <c:v>8.9327146171693739E-2</c:v>
                      </c:pt>
                      <c:pt idx="10">
                        <c:v>6.0093896713615022E-2</c:v>
                      </c:pt>
                      <c:pt idx="11">
                        <c:v>0.11435523114355231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F7A1-4E08-B959-EADD8A58FB83}"/>
                  </c:ext>
                </c:extLst>
              </c15:ser>
            </c15:filteredBarSeries>
          </c:ext>
        </c:extLst>
      </c:barChart>
      <c:catAx>
        <c:axId val="110115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01152736"/>
        <c:crosses val="autoZero"/>
        <c:auto val="1"/>
        <c:lblAlgn val="ctr"/>
        <c:lblOffset val="100"/>
        <c:noMultiLvlLbl val="0"/>
      </c:catAx>
      <c:valAx>
        <c:axId val="110115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01157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Precision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19"/>
          <c:order val="19"/>
          <c:tx>
            <c:strRef>
              <c:f>Daten!$U$1</c:f>
              <c:strCache>
                <c:ptCount val="1"/>
                <c:pt idx="0">
                  <c:v>Prec</c:v>
                </c:pt>
              </c:strCache>
              <c:extLst xmlns:c15="http://schemas.microsoft.com/office/drawing/2012/chart"/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Daten!$A$2:$A$13</c:f>
              <c:strCache>
                <c:ptCount val="12"/>
                <c:pt idx="0">
                  <c:v>Grok-3</c:v>
                </c:pt>
                <c:pt idx="1">
                  <c:v>GPT5</c:v>
                </c:pt>
                <c:pt idx="2">
                  <c:v>GPT4</c:v>
                </c:pt>
                <c:pt idx="3">
                  <c:v>OSS120B</c:v>
                </c:pt>
                <c:pt idx="4">
                  <c:v>GPT o4-mini</c:v>
                </c:pt>
                <c:pt idx="5">
                  <c:v>DeepseekR1</c:v>
                </c:pt>
                <c:pt idx="6">
                  <c:v>OSS20B</c:v>
                </c:pt>
                <c:pt idx="7">
                  <c:v>Gemma27B</c:v>
                </c:pt>
                <c:pt idx="8">
                  <c:v>Mistral8B</c:v>
                </c:pt>
                <c:pt idx="9">
                  <c:v>LLama38B</c:v>
                </c:pt>
                <c:pt idx="10">
                  <c:v>Llama3DiscoLeo8B</c:v>
                </c:pt>
                <c:pt idx="11">
                  <c:v>GeminiFlashLite2.5</c:v>
                </c:pt>
              </c:strCache>
              <c:extLst xmlns:c15="http://schemas.microsoft.com/office/drawing/2012/chart"/>
            </c:strRef>
          </c:cat>
          <c:val>
            <c:numRef>
              <c:f>Daten!$U$2:$U$13</c:f>
              <c:numCache>
                <c:formatCode>0.000</c:formatCode>
                <c:ptCount val="12"/>
                <c:pt idx="0">
                  <c:v>0.10877626699629171</c:v>
                </c:pt>
                <c:pt idx="1">
                  <c:v>0.13242009132420091</c:v>
                </c:pt>
                <c:pt idx="2">
                  <c:v>0.11960132890365449</c:v>
                </c:pt>
                <c:pt idx="3">
                  <c:v>6.734434561626429E-2</c:v>
                </c:pt>
                <c:pt idx="4">
                  <c:v>0.16339869281045752</c:v>
                </c:pt>
                <c:pt idx="5">
                  <c:v>8.185840707964602E-2</c:v>
                </c:pt>
                <c:pt idx="6">
                  <c:v>5.9237536656891493E-2</c:v>
                </c:pt>
                <c:pt idx="7">
                  <c:v>8.6680761099365747E-2</c:v>
                </c:pt>
                <c:pt idx="8">
                  <c:v>9.9540581929555894E-2</c:v>
                </c:pt>
                <c:pt idx="9">
                  <c:v>8.9327146171693739E-2</c:v>
                </c:pt>
                <c:pt idx="10">
                  <c:v>6.0093896713615022E-2</c:v>
                </c:pt>
                <c:pt idx="11">
                  <c:v>0.11435523114355231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14-E4C4-475F-BE0B-6C2221AAD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1157056"/>
        <c:axId val="110115273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Daten!$B$1</c15:sqref>
                        </c15:formulaRef>
                      </c:ext>
                    </c:extLst>
                    <c:strCache>
                      <c:ptCount val="1"/>
                      <c:pt idx="0">
                        <c:v>Gesamtanzahl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Daten!$B$2:$B$13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3004</c:v>
                      </c:pt>
                      <c:pt idx="1">
                        <c:v>3004</c:v>
                      </c:pt>
                      <c:pt idx="2">
                        <c:v>3004</c:v>
                      </c:pt>
                      <c:pt idx="3">
                        <c:v>3004</c:v>
                      </c:pt>
                      <c:pt idx="4">
                        <c:v>3004</c:v>
                      </c:pt>
                      <c:pt idx="5">
                        <c:v>3004</c:v>
                      </c:pt>
                      <c:pt idx="6">
                        <c:v>3004</c:v>
                      </c:pt>
                      <c:pt idx="7">
                        <c:v>3004</c:v>
                      </c:pt>
                      <c:pt idx="8">
                        <c:v>3004</c:v>
                      </c:pt>
                      <c:pt idx="9">
                        <c:v>3004</c:v>
                      </c:pt>
                      <c:pt idx="10">
                        <c:v>3004</c:v>
                      </c:pt>
                      <c:pt idx="11">
                        <c:v>3004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E4C4-475F-BE0B-6C2221AAD533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Daten!$C$1</c15:sqref>
                        </c15:formulaRef>
                      </c:ext>
                    </c:extLst>
                    <c:strCache>
                      <c:ptCount val="1"/>
                      <c:pt idx="0">
                        <c:v>Anzahl_Klassifikationen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Daten!$C$2:$C$13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2996</c:v>
                      </c:pt>
                      <c:pt idx="1">
                        <c:v>2990</c:v>
                      </c:pt>
                      <c:pt idx="2">
                        <c:v>2998</c:v>
                      </c:pt>
                      <c:pt idx="3">
                        <c:v>3002</c:v>
                      </c:pt>
                      <c:pt idx="4">
                        <c:v>2996</c:v>
                      </c:pt>
                      <c:pt idx="5">
                        <c:v>2998</c:v>
                      </c:pt>
                      <c:pt idx="6">
                        <c:v>2973</c:v>
                      </c:pt>
                      <c:pt idx="7">
                        <c:v>2989</c:v>
                      </c:pt>
                      <c:pt idx="8">
                        <c:v>2996</c:v>
                      </c:pt>
                      <c:pt idx="9">
                        <c:v>3002</c:v>
                      </c:pt>
                      <c:pt idx="10">
                        <c:v>2995</c:v>
                      </c:pt>
                      <c:pt idx="11">
                        <c:v>3000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4C4-475F-BE0B-6C2221AAD533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Daten!$D$1</c15:sqref>
                        </c15:formulaRef>
                      </c:ext>
                    </c:extLst>
                    <c:strCache>
                      <c:ptCount val="1"/>
                      <c:pt idx="0">
                        <c:v>Fehlende ('-'/NaN/leer)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Daten!$D$2:$D$13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</c:v>
                      </c:pt>
                      <c:pt idx="1">
                        <c:v>14</c:v>
                      </c:pt>
                      <c:pt idx="2">
                        <c:v>6</c:v>
                      </c:pt>
                      <c:pt idx="3">
                        <c:v>2</c:v>
                      </c:pt>
                      <c:pt idx="4">
                        <c:v>8</c:v>
                      </c:pt>
                      <c:pt idx="5">
                        <c:v>6</c:v>
                      </c:pt>
                      <c:pt idx="6">
                        <c:v>31</c:v>
                      </c:pt>
                      <c:pt idx="7">
                        <c:v>15</c:v>
                      </c:pt>
                      <c:pt idx="8">
                        <c:v>8</c:v>
                      </c:pt>
                      <c:pt idx="9">
                        <c:v>2</c:v>
                      </c:pt>
                      <c:pt idx="10">
                        <c:v>9</c:v>
                      </c:pt>
                      <c:pt idx="11">
                        <c:v>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4C4-475F-BE0B-6C2221AAD53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Daten!$E$1</c15:sqref>
                        </c15:formulaRef>
                      </c:ext>
                    </c:extLst>
                    <c:strCache>
                      <c:ptCount val="1"/>
                      <c:pt idx="0">
                        <c:v>Accuracy (bereinigt)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Daten!$E$2:$E$13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0.74299999999999999</c:v>
                      </c:pt>
                      <c:pt idx="1">
                        <c:v>0.79300000000000004</c:v>
                      </c:pt>
                      <c:pt idx="2">
                        <c:v>0.80200000000000005</c:v>
                      </c:pt>
                      <c:pt idx="3">
                        <c:v>0.72799999999999998</c:v>
                      </c:pt>
                      <c:pt idx="4">
                        <c:v>0.88600000000000001</c:v>
                      </c:pt>
                      <c:pt idx="5">
                        <c:v>0.70199999999999996</c:v>
                      </c:pt>
                      <c:pt idx="6">
                        <c:v>0.44900000000000001</c:v>
                      </c:pt>
                      <c:pt idx="7">
                        <c:v>0.69299999999999995</c:v>
                      </c:pt>
                      <c:pt idx="8">
                        <c:v>0.78</c:v>
                      </c:pt>
                      <c:pt idx="9">
                        <c:v>0.71899999999999997</c:v>
                      </c:pt>
                      <c:pt idx="10">
                        <c:v>0.32900000000000001</c:v>
                      </c:pt>
                      <c:pt idx="11">
                        <c:v>0.84899999999999998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4C4-475F-BE0B-6C2221AAD533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Daten!$F$1</c15:sqref>
                        </c15:formulaRef>
                      </c:ext>
                    </c:extLst>
                    <c:strCache>
                      <c:ptCount val="1"/>
                      <c:pt idx="0">
                        <c:v>TP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Daten!$F$2:$F$13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88</c:v>
                      </c:pt>
                      <c:pt idx="1">
                        <c:v>87</c:v>
                      </c:pt>
                      <c:pt idx="2">
                        <c:v>72</c:v>
                      </c:pt>
                      <c:pt idx="3">
                        <c:v>53</c:v>
                      </c:pt>
                      <c:pt idx="4">
                        <c:v>50</c:v>
                      </c:pt>
                      <c:pt idx="5">
                        <c:v>74</c:v>
                      </c:pt>
                      <c:pt idx="6">
                        <c:v>101</c:v>
                      </c:pt>
                      <c:pt idx="7">
                        <c:v>82</c:v>
                      </c:pt>
                      <c:pt idx="8">
                        <c:v>65</c:v>
                      </c:pt>
                      <c:pt idx="9">
                        <c:v>77</c:v>
                      </c:pt>
                      <c:pt idx="10">
                        <c:v>128</c:v>
                      </c:pt>
                      <c:pt idx="11">
                        <c:v>47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4C4-475F-BE0B-6C2221AAD533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Daten!$G$1</c15:sqref>
                        </c15:formulaRef>
                      </c:ext>
                    </c:extLst>
                    <c:strCache>
                      <c:ptCount val="1"/>
                      <c:pt idx="0">
                        <c:v>FP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Daten!$G$2:$G$13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721</c:v>
                      </c:pt>
                      <c:pt idx="1">
                        <c:v>570</c:v>
                      </c:pt>
                      <c:pt idx="2">
                        <c:v>530</c:v>
                      </c:pt>
                      <c:pt idx="3">
                        <c:v>734</c:v>
                      </c:pt>
                      <c:pt idx="4">
                        <c:v>256</c:v>
                      </c:pt>
                      <c:pt idx="5">
                        <c:v>830</c:v>
                      </c:pt>
                      <c:pt idx="6">
                        <c:v>1604</c:v>
                      </c:pt>
                      <c:pt idx="7">
                        <c:v>864</c:v>
                      </c:pt>
                      <c:pt idx="8">
                        <c:v>588</c:v>
                      </c:pt>
                      <c:pt idx="9">
                        <c:v>785</c:v>
                      </c:pt>
                      <c:pt idx="10">
                        <c:v>2002</c:v>
                      </c:pt>
                      <c:pt idx="11">
                        <c:v>364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4C4-475F-BE0B-6C2221AAD533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Daten!$H$1</c15:sqref>
                        </c15:formulaRef>
                      </c:ext>
                    </c:extLst>
                    <c:strCache>
                      <c:ptCount val="1"/>
                      <c:pt idx="0">
                        <c:v>FN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Daten!$H$2:$H$13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49</c:v>
                      </c:pt>
                      <c:pt idx="1">
                        <c:v>50</c:v>
                      </c:pt>
                      <c:pt idx="2">
                        <c:v>65</c:v>
                      </c:pt>
                      <c:pt idx="3">
                        <c:v>83</c:v>
                      </c:pt>
                      <c:pt idx="4">
                        <c:v>86</c:v>
                      </c:pt>
                      <c:pt idx="5">
                        <c:v>63</c:v>
                      </c:pt>
                      <c:pt idx="6">
                        <c:v>34</c:v>
                      </c:pt>
                      <c:pt idx="7">
                        <c:v>54</c:v>
                      </c:pt>
                      <c:pt idx="8">
                        <c:v>71</c:v>
                      </c:pt>
                      <c:pt idx="9">
                        <c:v>60</c:v>
                      </c:pt>
                      <c:pt idx="10">
                        <c:v>8</c:v>
                      </c:pt>
                      <c:pt idx="11">
                        <c:v>90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4C4-475F-BE0B-6C2221AAD533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Daten!$I$1</c15:sqref>
                        </c15:formulaRef>
                      </c:ext>
                    </c:extLst>
                    <c:strCache>
                      <c:ptCount val="1"/>
                      <c:pt idx="0">
                        <c:v>TN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Daten!$I$2:$I$13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2138</c:v>
                      </c:pt>
                      <c:pt idx="1">
                        <c:v>2283</c:v>
                      </c:pt>
                      <c:pt idx="2">
                        <c:v>2331</c:v>
                      </c:pt>
                      <c:pt idx="3">
                        <c:v>2132</c:v>
                      </c:pt>
                      <c:pt idx="4">
                        <c:v>2604</c:v>
                      </c:pt>
                      <c:pt idx="5">
                        <c:v>2031</c:v>
                      </c:pt>
                      <c:pt idx="6">
                        <c:v>1234</c:v>
                      </c:pt>
                      <c:pt idx="7">
                        <c:v>1989</c:v>
                      </c:pt>
                      <c:pt idx="8">
                        <c:v>2272</c:v>
                      </c:pt>
                      <c:pt idx="9">
                        <c:v>2080</c:v>
                      </c:pt>
                      <c:pt idx="10">
                        <c:v>857</c:v>
                      </c:pt>
                      <c:pt idx="11">
                        <c:v>2499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4C4-475F-BE0B-6C2221AAD533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Daten!$J$1</c15:sqref>
                        </c15:formulaRef>
                      </c:ext>
                    </c:extLst>
                    <c:strCache>
                      <c:ptCount val="1"/>
                      <c:pt idx="0">
                        <c:v>Precision      (Unwirksam)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Daten!$J$2:$J$13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0.109</c:v>
                      </c:pt>
                      <c:pt idx="1">
                        <c:v>0.13200000000000001</c:v>
                      </c:pt>
                      <c:pt idx="2">
                        <c:v>0.12</c:v>
                      </c:pt>
                      <c:pt idx="3">
                        <c:v>6.7000000000000004E-2</c:v>
                      </c:pt>
                      <c:pt idx="4">
                        <c:v>0.16300000000000001</c:v>
                      </c:pt>
                      <c:pt idx="5">
                        <c:v>8.2000000000000003E-2</c:v>
                      </c:pt>
                      <c:pt idx="6">
                        <c:v>5.8999999999999997E-2</c:v>
                      </c:pt>
                      <c:pt idx="7">
                        <c:v>8.6999999999999994E-2</c:v>
                      </c:pt>
                      <c:pt idx="8">
                        <c:v>0.1</c:v>
                      </c:pt>
                      <c:pt idx="9">
                        <c:v>8.8999999999999996E-2</c:v>
                      </c:pt>
                      <c:pt idx="10">
                        <c:v>0.06</c:v>
                      </c:pt>
                      <c:pt idx="11">
                        <c:v>0.114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E4C4-475F-BE0B-6C2221AAD533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Daten!$K$1</c15:sqref>
                        </c15:formulaRef>
                      </c:ext>
                    </c:extLst>
                    <c:strCache>
                      <c:ptCount val="1"/>
                      <c:pt idx="0">
                        <c:v>Recall      (Unwirksam)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Daten!$K$2:$K$13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0.64200000000000002</c:v>
                      </c:pt>
                      <c:pt idx="1">
                        <c:v>0.63500000000000001</c:v>
                      </c:pt>
                      <c:pt idx="2">
                        <c:v>0.52600000000000002</c:v>
                      </c:pt>
                      <c:pt idx="3">
                        <c:v>0.39</c:v>
                      </c:pt>
                      <c:pt idx="4">
                        <c:v>0.36799999999999999</c:v>
                      </c:pt>
                      <c:pt idx="5">
                        <c:v>0.54</c:v>
                      </c:pt>
                      <c:pt idx="6">
                        <c:v>0.748</c:v>
                      </c:pt>
                      <c:pt idx="7">
                        <c:v>0.60299999999999998</c:v>
                      </c:pt>
                      <c:pt idx="8">
                        <c:v>0.47799999999999998</c:v>
                      </c:pt>
                      <c:pt idx="9">
                        <c:v>0.56200000000000006</c:v>
                      </c:pt>
                      <c:pt idx="10">
                        <c:v>0.94099999999999995</c:v>
                      </c:pt>
                      <c:pt idx="11">
                        <c:v>0.34300000000000003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E4C4-475F-BE0B-6C2221AAD533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Daten!$L$1</c15:sqref>
                        </c15:formulaRef>
                      </c:ext>
                    </c:extLst>
                    <c:strCache>
                      <c:ptCount val="1"/>
                      <c:pt idx="0">
                        <c:v>F1      (Unwirksam)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Daten!$L$2:$L$13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0.186</c:v>
                      </c:pt>
                      <c:pt idx="1">
                        <c:v>0.219</c:v>
                      </c:pt>
                      <c:pt idx="2">
                        <c:v>0.19500000000000001</c:v>
                      </c:pt>
                      <c:pt idx="3">
                        <c:v>0.115</c:v>
                      </c:pt>
                      <c:pt idx="4">
                        <c:v>0.22600000000000001</c:v>
                      </c:pt>
                      <c:pt idx="5">
                        <c:v>0.14199999999999999</c:v>
                      </c:pt>
                      <c:pt idx="6">
                        <c:v>0.11</c:v>
                      </c:pt>
                      <c:pt idx="7">
                        <c:v>0.152</c:v>
                      </c:pt>
                      <c:pt idx="8">
                        <c:v>0.16500000000000001</c:v>
                      </c:pt>
                      <c:pt idx="9">
                        <c:v>0.154</c:v>
                      </c:pt>
                      <c:pt idx="10">
                        <c:v>0.113</c:v>
                      </c:pt>
                      <c:pt idx="11">
                        <c:v>0.17199999999999999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E4C4-475F-BE0B-6C2221AAD533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Daten!$M$1</c15:sqref>
                        </c15:formulaRef>
                      </c:ext>
                    </c:extLst>
                    <c:strCache>
                      <c:ptCount val="1"/>
                      <c:pt idx="0">
                        <c:v>Precision      (Wirksam)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Daten!$M$2:$M$13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0.97799999999999998</c:v>
                      </c:pt>
                      <c:pt idx="1">
                        <c:v>0.97899999999999998</c:v>
                      </c:pt>
                      <c:pt idx="2">
                        <c:v>0.97299999999999998</c:v>
                      </c:pt>
                      <c:pt idx="3">
                        <c:v>0.96299999999999997</c:v>
                      </c:pt>
                      <c:pt idx="4">
                        <c:v>0.96799999999999997</c:v>
                      </c:pt>
                      <c:pt idx="5">
                        <c:v>0.97</c:v>
                      </c:pt>
                      <c:pt idx="6">
                        <c:v>0.97299999999999998</c:v>
                      </c:pt>
                      <c:pt idx="7">
                        <c:v>0.97399999999999998</c:v>
                      </c:pt>
                      <c:pt idx="8">
                        <c:v>0.97</c:v>
                      </c:pt>
                      <c:pt idx="9">
                        <c:v>0.97199999999999998</c:v>
                      </c:pt>
                      <c:pt idx="10">
                        <c:v>0.99099999999999999</c:v>
                      </c:pt>
                      <c:pt idx="11">
                        <c:v>0.96499999999999997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E4C4-475F-BE0B-6C2221AAD533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Daten!$N$1</c15:sqref>
                        </c15:formulaRef>
                      </c:ext>
                    </c:extLst>
                    <c:strCache>
                      <c:ptCount val="1"/>
                      <c:pt idx="0">
                        <c:v>Recall (Wirksam)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Daten!$N$2:$N$13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0.748</c:v>
                      </c:pt>
                      <c:pt idx="1">
                        <c:v>0.8</c:v>
                      </c:pt>
                      <c:pt idx="2">
                        <c:v>0.81499999999999995</c:v>
                      </c:pt>
                      <c:pt idx="3">
                        <c:v>0.74399999999999999</c:v>
                      </c:pt>
                      <c:pt idx="4">
                        <c:v>0.91</c:v>
                      </c:pt>
                      <c:pt idx="5">
                        <c:v>0.71</c:v>
                      </c:pt>
                      <c:pt idx="6">
                        <c:v>0.435</c:v>
                      </c:pt>
                      <c:pt idx="7">
                        <c:v>0.69699999999999995</c:v>
                      </c:pt>
                      <c:pt idx="8">
                        <c:v>0.79400000000000004</c:v>
                      </c:pt>
                      <c:pt idx="9">
                        <c:v>0.72599999999999998</c:v>
                      </c:pt>
                      <c:pt idx="10">
                        <c:v>0.3</c:v>
                      </c:pt>
                      <c:pt idx="11">
                        <c:v>0.873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E4C4-475F-BE0B-6C2221AAD533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Daten!$O$1</c15:sqref>
                        </c15:formulaRef>
                      </c:ext>
                    </c:extLst>
                    <c:strCache>
                      <c:ptCount val="1"/>
                      <c:pt idx="0">
                        <c:v>F1                           (Wirksam)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Daten!$O$2:$O$13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0.84699999999999998</c:v>
                      </c:pt>
                      <c:pt idx="1">
                        <c:v>0.88</c:v>
                      </c:pt>
                      <c:pt idx="2">
                        <c:v>0.88700000000000001</c:v>
                      </c:pt>
                      <c:pt idx="3">
                        <c:v>0.83899999999999997</c:v>
                      </c:pt>
                      <c:pt idx="4">
                        <c:v>0.93799999999999994</c:v>
                      </c:pt>
                      <c:pt idx="5">
                        <c:v>0.82</c:v>
                      </c:pt>
                      <c:pt idx="6">
                        <c:v>0.60099999999999998</c:v>
                      </c:pt>
                      <c:pt idx="7">
                        <c:v>0.81200000000000006</c:v>
                      </c:pt>
                      <c:pt idx="8">
                        <c:v>0.873</c:v>
                      </c:pt>
                      <c:pt idx="9">
                        <c:v>0.83099999999999996</c:v>
                      </c:pt>
                      <c:pt idx="10">
                        <c:v>0.46</c:v>
                      </c:pt>
                      <c:pt idx="11">
                        <c:v>0.91700000000000004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E4C4-475F-BE0B-6C2221AAD533}"/>
                  </c:ext>
                </c:extLst>
              </c15:ser>
            </c15:filteredBarSeries>
            <c15:filteredB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Daten!$P$1</c15:sqref>
                        </c15:formulaRef>
                      </c:ext>
                    </c:extLst>
                    <c:strCache>
                      <c:ptCount val="1"/>
                      <c:pt idx="0">
                        <c:v>F1           (macro)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Daten!$P$2:$P$13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0.51700000000000002</c:v>
                      </c:pt>
                      <c:pt idx="1">
                        <c:v>0.55000000000000004</c:v>
                      </c:pt>
                      <c:pt idx="2">
                        <c:v>0.54100000000000004</c:v>
                      </c:pt>
                      <c:pt idx="3">
                        <c:v>0.47699999999999998</c:v>
                      </c:pt>
                      <c:pt idx="4">
                        <c:v>0.58199999999999996</c:v>
                      </c:pt>
                      <c:pt idx="5">
                        <c:v>0.48099999999999998</c:v>
                      </c:pt>
                      <c:pt idx="6">
                        <c:v>0.35499999999999998</c:v>
                      </c:pt>
                      <c:pt idx="7">
                        <c:v>0.48199999999999998</c:v>
                      </c:pt>
                      <c:pt idx="8">
                        <c:v>0.51900000000000002</c:v>
                      </c:pt>
                      <c:pt idx="9">
                        <c:v>0.49299999999999999</c:v>
                      </c:pt>
                      <c:pt idx="10">
                        <c:v>0.28699999999999998</c:v>
                      </c:pt>
                      <c:pt idx="11">
                        <c:v>0.54400000000000004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E4C4-475F-BE0B-6C2221AAD533}"/>
                  </c:ext>
                </c:extLst>
              </c15:ser>
            </c15:filteredBarSeries>
            <c15:filteredBa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Daten!$Q$1</c15:sqref>
                        </c15:formulaRef>
                      </c:ext>
                    </c:extLst>
                    <c:strCache>
                      <c:ptCount val="1"/>
                      <c:pt idx="0">
                        <c:v>F1                 (weighted)</c:v>
                      </c:pt>
                    </c:strCache>
                  </c:strRef>
                </c:tx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Daten!$Q$2:$Q$13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0.81699999999999995</c:v>
                      </c:pt>
                      <c:pt idx="1">
                        <c:v>0.85</c:v>
                      </c:pt>
                      <c:pt idx="2">
                        <c:v>0.85499999999999998</c:v>
                      </c:pt>
                      <c:pt idx="3">
                        <c:v>0.80600000000000005</c:v>
                      </c:pt>
                      <c:pt idx="4">
                        <c:v>0.90600000000000003</c:v>
                      </c:pt>
                      <c:pt idx="5">
                        <c:v>0.78900000000000003</c:v>
                      </c:pt>
                      <c:pt idx="6">
                        <c:v>0.57899999999999996</c:v>
                      </c:pt>
                      <c:pt idx="7">
                        <c:v>0.78200000000000003</c:v>
                      </c:pt>
                      <c:pt idx="8">
                        <c:v>0.84099999999999997</c:v>
                      </c:pt>
                      <c:pt idx="9">
                        <c:v>0.8</c:v>
                      </c:pt>
                      <c:pt idx="10">
                        <c:v>0.44400000000000001</c:v>
                      </c:pt>
                      <c:pt idx="11">
                        <c:v>0.88300000000000001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E4C4-475F-BE0B-6C2221AAD533}"/>
                  </c:ext>
                </c:extLst>
              </c15:ser>
            </c15:filteredBarSeries>
            <c15:filteredBa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Daten!$R$1</c15:sqref>
                        </c15:formulaRef>
                      </c:ext>
                    </c:extLst>
                    <c:strCache>
                      <c:ptCount val="1"/>
                      <c:pt idx="0">
                        <c:v>Precision       Macro</c:v>
                      </c:pt>
                    </c:strCache>
                  </c:strRef>
                </c:tx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Daten!$R$2:$R$13</c15:sqref>
                        </c15:formulaRef>
                      </c:ext>
                    </c:extLst>
                    <c:numCache>
                      <c:formatCode>0.000</c:formatCode>
                      <c:ptCount val="12"/>
                      <c:pt idx="0">
                        <c:v>0.54349999999999998</c:v>
                      </c:pt>
                      <c:pt idx="1">
                        <c:v>0.55549999999999999</c:v>
                      </c:pt>
                      <c:pt idx="2">
                        <c:v>0.54649999999999999</c:v>
                      </c:pt>
                      <c:pt idx="3">
                        <c:v>0.51500000000000001</c:v>
                      </c:pt>
                      <c:pt idx="4">
                        <c:v>0.5655</c:v>
                      </c:pt>
                      <c:pt idx="5">
                        <c:v>0.52600000000000002</c:v>
                      </c:pt>
                      <c:pt idx="6">
                        <c:v>0.51600000000000001</c:v>
                      </c:pt>
                      <c:pt idx="7">
                        <c:v>0.53049999999999997</c:v>
                      </c:pt>
                      <c:pt idx="8">
                        <c:v>0.53500000000000003</c:v>
                      </c:pt>
                      <c:pt idx="9">
                        <c:v>0.53049999999999997</c:v>
                      </c:pt>
                      <c:pt idx="10">
                        <c:v>0.52549999999999997</c:v>
                      </c:pt>
                      <c:pt idx="11">
                        <c:v>0.53949999999999998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E4C4-475F-BE0B-6C2221AAD533}"/>
                  </c:ext>
                </c:extLst>
              </c15:ser>
            </c15:filteredBarSeries>
            <c15:filteredBa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Daten!$S$1</c15:sqref>
                        </c15:formulaRef>
                      </c:ext>
                    </c:extLst>
                    <c:strCache>
                      <c:ptCount val="1"/>
                      <c:pt idx="0">
                        <c:v> Prec                 Micro</c:v>
                      </c:pt>
                    </c:strCache>
                  </c:strRef>
                </c:tx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Daten!$S$2:$S$13</c15:sqref>
                        </c15:formulaRef>
                      </c:ext>
                    </c:extLst>
                    <c:numCache>
                      <c:formatCode>0.000</c:formatCode>
                      <c:ptCount val="12"/>
                      <c:pt idx="0">
                        <c:v>0.10877626699629171</c:v>
                      </c:pt>
                      <c:pt idx="1">
                        <c:v>0.13242009132420091</c:v>
                      </c:pt>
                      <c:pt idx="2">
                        <c:v>0.11960132890365449</c:v>
                      </c:pt>
                      <c:pt idx="3">
                        <c:v>6.734434561626429E-2</c:v>
                      </c:pt>
                      <c:pt idx="4">
                        <c:v>0.16339869281045752</c:v>
                      </c:pt>
                      <c:pt idx="5">
                        <c:v>8.185840707964602E-2</c:v>
                      </c:pt>
                      <c:pt idx="6">
                        <c:v>5.9237536656891493E-2</c:v>
                      </c:pt>
                      <c:pt idx="7">
                        <c:v>8.6680761099365747E-2</c:v>
                      </c:pt>
                      <c:pt idx="8">
                        <c:v>9.9540581929555894E-2</c:v>
                      </c:pt>
                      <c:pt idx="9">
                        <c:v>8.9327146171693739E-2</c:v>
                      </c:pt>
                      <c:pt idx="10">
                        <c:v>6.0093896713615022E-2</c:v>
                      </c:pt>
                      <c:pt idx="11">
                        <c:v>0.11435523114355231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E4C4-475F-BE0B-6C2221AAD533}"/>
                  </c:ext>
                </c:extLst>
              </c15:ser>
            </c15:filteredBarSeries>
            <c15:filteredBa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Daten!$T$1</c15:sqref>
                        </c15:formulaRef>
                      </c:ext>
                    </c:extLst>
                    <c:strCache>
                      <c:ptCount val="1"/>
                      <c:pt idx="0">
                        <c:v>Recall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Daten!$T$2:$T$13</c15:sqref>
                        </c15:formulaRef>
                      </c:ext>
                    </c:extLst>
                    <c:numCache>
                      <c:formatCode>0.000</c:formatCode>
                      <c:ptCount val="12"/>
                      <c:pt idx="0">
                        <c:v>0.64233576642335766</c:v>
                      </c:pt>
                      <c:pt idx="1">
                        <c:v>0.63503649635036497</c:v>
                      </c:pt>
                      <c:pt idx="2">
                        <c:v>0.52554744525547448</c:v>
                      </c:pt>
                      <c:pt idx="3">
                        <c:v>0.38970588235294118</c:v>
                      </c:pt>
                      <c:pt idx="4">
                        <c:v>0.36764705882352944</c:v>
                      </c:pt>
                      <c:pt idx="5">
                        <c:v>0.54014598540145986</c:v>
                      </c:pt>
                      <c:pt idx="6">
                        <c:v>0.74814814814814812</c:v>
                      </c:pt>
                      <c:pt idx="7">
                        <c:v>0.6029411764705882</c:v>
                      </c:pt>
                      <c:pt idx="8">
                        <c:v>0.47794117647058826</c:v>
                      </c:pt>
                      <c:pt idx="9">
                        <c:v>0.56204379562043794</c:v>
                      </c:pt>
                      <c:pt idx="10">
                        <c:v>0.94117647058823528</c:v>
                      </c:pt>
                      <c:pt idx="11">
                        <c:v>0.34306569343065696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E4C4-475F-BE0B-6C2221AAD533}"/>
                  </c:ext>
                </c:extLst>
              </c15:ser>
            </c15:filteredBarSeries>
            <c15:filteredBa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Daten!$V$1</c15:sqref>
                        </c15:formulaRef>
                      </c:ext>
                    </c:extLst>
                    <c:strCache>
                      <c:ptCount val="1"/>
                      <c:pt idx="0">
                        <c:v>F1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Daten!$V$2:$V$13</c15:sqref>
                        </c15:formulaRef>
                      </c:ext>
                    </c:extLst>
                    <c:numCache>
                      <c:formatCode>0.000</c:formatCode>
                      <c:ptCount val="12"/>
                      <c:pt idx="0">
                        <c:v>0.18604651162790695</c:v>
                      </c:pt>
                      <c:pt idx="1">
                        <c:v>0.21914357682619648</c:v>
                      </c:pt>
                      <c:pt idx="2">
                        <c:v>0.19485791610284167</c:v>
                      </c:pt>
                      <c:pt idx="3">
                        <c:v>0.11484290357529793</c:v>
                      </c:pt>
                      <c:pt idx="4">
                        <c:v>0.22624434389140272</c:v>
                      </c:pt>
                      <c:pt idx="5">
                        <c:v>0.14217098943323728</c:v>
                      </c:pt>
                      <c:pt idx="6">
                        <c:v>0.10978260869565218</c:v>
                      </c:pt>
                      <c:pt idx="7">
                        <c:v>0.15157116451016636</c:v>
                      </c:pt>
                      <c:pt idx="8">
                        <c:v>0.16476552598225602</c:v>
                      </c:pt>
                      <c:pt idx="9">
                        <c:v>0.15415415415415418</c:v>
                      </c:pt>
                      <c:pt idx="10">
                        <c:v>0.11297440423654015</c:v>
                      </c:pt>
                      <c:pt idx="11">
                        <c:v>0.17153284671532848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E4C4-475F-BE0B-6C2221AAD533}"/>
                  </c:ext>
                </c:extLst>
              </c15:ser>
            </c15:filteredBarSeries>
          </c:ext>
        </c:extLst>
      </c:barChart>
      <c:catAx>
        <c:axId val="110115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01152736"/>
        <c:crosses val="autoZero"/>
        <c:auto val="1"/>
        <c:lblAlgn val="ctr"/>
        <c:lblOffset val="100"/>
        <c:noMultiLvlLbl val="0"/>
      </c:catAx>
      <c:valAx>
        <c:axId val="110115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01157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Alle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4"/>
          <c:tx>
            <c:strRef>
              <c:f>Daten!$F$1</c:f>
              <c:strCache>
                <c:ptCount val="1"/>
                <c:pt idx="0">
                  <c:v>TP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Daten!$A$2:$A$13</c:f>
              <c:strCache>
                <c:ptCount val="12"/>
                <c:pt idx="0">
                  <c:v>Grok-3</c:v>
                </c:pt>
                <c:pt idx="1">
                  <c:v>GPT5</c:v>
                </c:pt>
                <c:pt idx="2">
                  <c:v>GPT4</c:v>
                </c:pt>
                <c:pt idx="3">
                  <c:v>OSS120B</c:v>
                </c:pt>
                <c:pt idx="4">
                  <c:v>GPT o4-mini</c:v>
                </c:pt>
                <c:pt idx="5">
                  <c:v>DeepseekR1</c:v>
                </c:pt>
                <c:pt idx="6">
                  <c:v>OSS20B</c:v>
                </c:pt>
                <c:pt idx="7">
                  <c:v>Gemma27B</c:v>
                </c:pt>
                <c:pt idx="8">
                  <c:v>Mistral8B</c:v>
                </c:pt>
                <c:pt idx="9">
                  <c:v>LLama38B</c:v>
                </c:pt>
                <c:pt idx="10">
                  <c:v>Llama3DiscoLeo8B</c:v>
                </c:pt>
                <c:pt idx="11">
                  <c:v>GeminiFlashLite2.5</c:v>
                </c:pt>
              </c:strCache>
            </c:strRef>
          </c:cat>
          <c:val>
            <c:numRef>
              <c:f>Daten!$F$2:$F$13</c:f>
              <c:numCache>
                <c:formatCode>General</c:formatCode>
                <c:ptCount val="12"/>
                <c:pt idx="0">
                  <c:v>88</c:v>
                </c:pt>
                <c:pt idx="1">
                  <c:v>87</c:v>
                </c:pt>
                <c:pt idx="2">
                  <c:v>72</c:v>
                </c:pt>
                <c:pt idx="3">
                  <c:v>53</c:v>
                </c:pt>
                <c:pt idx="4">
                  <c:v>50</c:v>
                </c:pt>
                <c:pt idx="5">
                  <c:v>74</c:v>
                </c:pt>
                <c:pt idx="6">
                  <c:v>101</c:v>
                </c:pt>
                <c:pt idx="7">
                  <c:v>82</c:v>
                </c:pt>
                <c:pt idx="8">
                  <c:v>65</c:v>
                </c:pt>
                <c:pt idx="9">
                  <c:v>77</c:v>
                </c:pt>
                <c:pt idx="10">
                  <c:v>128</c:v>
                </c:pt>
                <c:pt idx="11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0B3-4B07-A11C-30B12C306E90}"/>
            </c:ext>
          </c:extLst>
        </c:ser>
        <c:ser>
          <c:idx val="5"/>
          <c:order val="5"/>
          <c:tx>
            <c:strRef>
              <c:f>Daten!$G$1</c:f>
              <c:strCache>
                <c:ptCount val="1"/>
                <c:pt idx="0">
                  <c:v>FP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Daten!$A$2:$A$13</c:f>
              <c:strCache>
                <c:ptCount val="12"/>
                <c:pt idx="0">
                  <c:v>Grok-3</c:v>
                </c:pt>
                <c:pt idx="1">
                  <c:v>GPT5</c:v>
                </c:pt>
                <c:pt idx="2">
                  <c:v>GPT4</c:v>
                </c:pt>
                <c:pt idx="3">
                  <c:v>OSS120B</c:v>
                </c:pt>
                <c:pt idx="4">
                  <c:v>GPT o4-mini</c:v>
                </c:pt>
                <c:pt idx="5">
                  <c:v>DeepseekR1</c:v>
                </c:pt>
                <c:pt idx="6">
                  <c:v>OSS20B</c:v>
                </c:pt>
                <c:pt idx="7">
                  <c:v>Gemma27B</c:v>
                </c:pt>
                <c:pt idx="8">
                  <c:v>Mistral8B</c:v>
                </c:pt>
                <c:pt idx="9">
                  <c:v>LLama38B</c:v>
                </c:pt>
                <c:pt idx="10">
                  <c:v>Llama3DiscoLeo8B</c:v>
                </c:pt>
                <c:pt idx="11">
                  <c:v>GeminiFlashLite2.5</c:v>
                </c:pt>
              </c:strCache>
            </c:strRef>
          </c:cat>
          <c:val>
            <c:numRef>
              <c:f>Daten!$G$2:$G$13</c:f>
              <c:numCache>
                <c:formatCode>General</c:formatCode>
                <c:ptCount val="12"/>
                <c:pt idx="0">
                  <c:v>721</c:v>
                </c:pt>
                <c:pt idx="1">
                  <c:v>570</c:v>
                </c:pt>
                <c:pt idx="2">
                  <c:v>530</c:v>
                </c:pt>
                <c:pt idx="3">
                  <c:v>734</c:v>
                </c:pt>
                <c:pt idx="4">
                  <c:v>256</c:v>
                </c:pt>
                <c:pt idx="5">
                  <c:v>830</c:v>
                </c:pt>
                <c:pt idx="6">
                  <c:v>1604</c:v>
                </c:pt>
                <c:pt idx="7">
                  <c:v>864</c:v>
                </c:pt>
                <c:pt idx="8">
                  <c:v>588</c:v>
                </c:pt>
                <c:pt idx="9">
                  <c:v>785</c:v>
                </c:pt>
                <c:pt idx="10">
                  <c:v>2002</c:v>
                </c:pt>
                <c:pt idx="11">
                  <c:v>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0B3-4B07-A11C-30B12C306E90}"/>
            </c:ext>
          </c:extLst>
        </c:ser>
        <c:ser>
          <c:idx val="6"/>
          <c:order val="6"/>
          <c:tx>
            <c:strRef>
              <c:f>Daten!$H$1</c:f>
              <c:strCache>
                <c:ptCount val="1"/>
                <c:pt idx="0">
                  <c:v>FN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Daten!$A$2:$A$13</c:f>
              <c:strCache>
                <c:ptCount val="12"/>
                <c:pt idx="0">
                  <c:v>Grok-3</c:v>
                </c:pt>
                <c:pt idx="1">
                  <c:v>GPT5</c:v>
                </c:pt>
                <c:pt idx="2">
                  <c:v>GPT4</c:v>
                </c:pt>
                <c:pt idx="3">
                  <c:v>OSS120B</c:v>
                </c:pt>
                <c:pt idx="4">
                  <c:v>GPT o4-mini</c:v>
                </c:pt>
                <c:pt idx="5">
                  <c:v>DeepseekR1</c:v>
                </c:pt>
                <c:pt idx="6">
                  <c:v>OSS20B</c:v>
                </c:pt>
                <c:pt idx="7">
                  <c:v>Gemma27B</c:v>
                </c:pt>
                <c:pt idx="8">
                  <c:v>Mistral8B</c:v>
                </c:pt>
                <c:pt idx="9">
                  <c:v>LLama38B</c:v>
                </c:pt>
                <c:pt idx="10">
                  <c:v>Llama3DiscoLeo8B</c:v>
                </c:pt>
                <c:pt idx="11">
                  <c:v>GeminiFlashLite2.5</c:v>
                </c:pt>
              </c:strCache>
            </c:strRef>
          </c:cat>
          <c:val>
            <c:numRef>
              <c:f>Daten!$H$2:$H$13</c:f>
              <c:numCache>
                <c:formatCode>General</c:formatCode>
                <c:ptCount val="12"/>
                <c:pt idx="0">
                  <c:v>49</c:v>
                </c:pt>
                <c:pt idx="1">
                  <c:v>50</c:v>
                </c:pt>
                <c:pt idx="2">
                  <c:v>65</c:v>
                </c:pt>
                <c:pt idx="3">
                  <c:v>83</c:v>
                </c:pt>
                <c:pt idx="4">
                  <c:v>86</c:v>
                </c:pt>
                <c:pt idx="5">
                  <c:v>63</c:v>
                </c:pt>
                <c:pt idx="6">
                  <c:v>34</c:v>
                </c:pt>
                <c:pt idx="7">
                  <c:v>54</c:v>
                </c:pt>
                <c:pt idx="8">
                  <c:v>71</c:v>
                </c:pt>
                <c:pt idx="9">
                  <c:v>60</c:v>
                </c:pt>
                <c:pt idx="10">
                  <c:v>8</c:v>
                </c:pt>
                <c:pt idx="11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0B3-4B07-A11C-30B12C306E90}"/>
            </c:ext>
          </c:extLst>
        </c:ser>
        <c:ser>
          <c:idx val="7"/>
          <c:order val="7"/>
          <c:tx>
            <c:strRef>
              <c:f>Daten!$I$1</c:f>
              <c:strCache>
                <c:ptCount val="1"/>
                <c:pt idx="0">
                  <c:v>TN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Daten!$A$2:$A$13</c:f>
              <c:strCache>
                <c:ptCount val="12"/>
                <c:pt idx="0">
                  <c:v>Grok-3</c:v>
                </c:pt>
                <c:pt idx="1">
                  <c:v>GPT5</c:v>
                </c:pt>
                <c:pt idx="2">
                  <c:v>GPT4</c:v>
                </c:pt>
                <c:pt idx="3">
                  <c:v>OSS120B</c:v>
                </c:pt>
                <c:pt idx="4">
                  <c:v>GPT o4-mini</c:v>
                </c:pt>
                <c:pt idx="5">
                  <c:v>DeepseekR1</c:v>
                </c:pt>
                <c:pt idx="6">
                  <c:v>OSS20B</c:v>
                </c:pt>
                <c:pt idx="7">
                  <c:v>Gemma27B</c:v>
                </c:pt>
                <c:pt idx="8">
                  <c:v>Mistral8B</c:v>
                </c:pt>
                <c:pt idx="9">
                  <c:v>LLama38B</c:v>
                </c:pt>
                <c:pt idx="10">
                  <c:v>Llama3DiscoLeo8B</c:v>
                </c:pt>
                <c:pt idx="11">
                  <c:v>GeminiFlashLite2.5</c:v>
                </c:pt>
              </c:strCache>
            </c:strRef>
          </c:cat>
          <c:val>
            <c:numRef>
              <c:f>Daten!$I$2:$I$13</c:f>
              <c:numCache>
                <c:formatCode>General</c:formatCode>
                <c:ptCount val="12"/>
                <c:pt idx="0">
                  <c:v>2138</c:v>
                </c:pt>
                <c:pt idx="1">
                  <c:v>2283</c:v>
                </c:pt>
                <c:pt idx="2">
                  <c:v>2331</c:v>
                </c:pt>
                <c:pt idx="3">
                  <c:v>2132</c:v>
                </c:pt>
                <c:pt idx="4">
                  <c:v>2604</c:v>
                </c:pt>
                <c:pt idx="5">
                  <c:v>2031</c:v>
                </c:pt>
                <c:pt idx="6">
                  <c:v>1234</c:v>
                </c:pt>
                <c:pt idx="7">
                  <c:v>1989</c:v>
                </c:pt>
                <c:pt idx="8">
                  <c:v>2272</c:v>
                </c:pt>
                <c:pt idx="9">
                  <c:v>2080</c:v>
                </c:pt>
                <c:pt idx="10">
                  <c:v>857</c:v>
                </c:pt>
                <c:pt idx="11">
                  <c:v>2499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0B3-4B07-A11C-30B12C306E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1157056"/>
        <c:axId val="110115273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Daten!$B$1</c15:sqref>
                        </c15:formulaRef>
                      </c:ext>
                    </c:extLst>
                    <c:strCache>
                      <c:ptCount val="1"/>
                      <c:pt idx="0">
                        <c:v>Gesamtanzahl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Daten!$B$2:$B$13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3004</c:v>
                      </c:pt>
                      <c:pt idx="1">
                        <c:v>3004</c:v>
                      </c:pt>
                      <c:pt idx="2">
                        <c:v>3004</c:v>
                      </c:pt>
                      <c:pt idx="3">
                        <c:v>3004</c:v>
                      </c:pt>
                      <c:pt idx="4">
                        <c:v>3004</c:v>
                      </c:pt>
                      <c:pt idx="5">
                        <c:v>3004</c:v>
                      </c:pt>
                      <c:pt idx="6">
                        <c:v>3004</c:v>
                      </c:pt>
                      <c:pt idx="7">
                        <c:v>3004</c:v>
                      </c:pt>
                      <c:pt idx="8">
                        <c:v>3004</c:v>
                      </c:pt>
                      <c:pt idx="9">
                        <c:v>3004</c:v>
                      </c:pt>
                      <c:pt idx="10">
                        <c:v>3004</c:v>
                      </c:pt>
                      <c:pt idx="11">
                        <c:v>3004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30B3-4B07-A11C-30B12C306E90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Daten!$C$1</c15:sqref>
                        </c15:formulaRef>
                      </c:ext>
                    </c:extLst>
                    <c:strCache>
                      <c:ptCount val="1"/>
                      <c:pt idx="0">
                        <c:v>Anzahl_Klassifikationen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Daten!$C$2:$C$13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2996</c:v>
                      </c:pt>
                      <c:pt idx="1">
                        <c:v>2990</c:v>
                      </c:pt>
                      <c:pt idx="2">
                        <c:v>2998</c:v>
                      </c:pt>
                      <c:pt idx="3">
                        <c:v>3002</c:v>
                      </c:pt>
                      <c:pt idx="4">
                        <c:v>2996</c:v>
                      </c:pt>
                      <c:pt idx="5">
                        <c:v>2998</c:v>
                      </c:pt>
                      <c:pt idx="6">
                        <c:v>2973</c:v>
                      </c:pt>
                      <c:pt idx="7">
                        <c:v>2989</c:v>
                      </c:pt>
                      <c:pt idx="8">
                        <c:v>2996</c:v>
                      </c:pt>
                      <c:pt idx="9">
                        <c:v>3002</c:v>
                      </c:pt>
                      <c:pt idx="10">
                        <c:v>2995</c:v>
                      </c:pt>
                      <c:pt idx="11">
                        <c:v>3000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0B3-4B07-A11C-30B12C306E90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Daten!$D$1</c15:sqref>
                        </c15:formulaRef>
                      </c:ext>
                    </c:extLst>
                    <c:strCache>
                      <c:ptCount val="1"/>
                      <c:pt idx="0">
                        <c:v>Fehlende ('-'/NaN/leer)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Daten!$D$2:$D$13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</c:v>
                      </c:pt>
                      <c:pt idx="1">
                        <c:v>14</c:v>
                      </c:pt>
                      <c:pt idx="2">
                        <c:v>6</c:v>
                      </c:pt>
                      <c:pt idx="3">
                        <c:v>2</c:v>
                      </c:pt>
                      <c:pt idx="4">
                        <c:v>8</c:v>
                      </c:pt>
                      <c:pt idx="5">
                        <c:v>6</c:v>
                      </c:pt>
                      <c:pt idx="6">
                        <c:v>31</c:v>
                      </c:pt>
                      <c:pt idx="7">
                        <c:v>15</c:v>
                      </c:pt>
                      <c:pt idx="8">
                        <c:v>8</c:v>
                      </c:pt>
                      <c:pt idx="9">
                        <c:v>2</c:v>
                      </c:pt>
                      <c:pt idx="10">
                        <c:v>9</c:v>
                      </c:pt>
                      <c:pt idx="11">
                        <c:v>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0B3-4B07-A11C-30B12C306E90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Daten!$E$1</c15:sqref>
                        </c15:formulaRef>
                      </c:ext>
                    </c:extLst>
                    <c:strCache>
                      <c:ptCount val="1"/>
                      <c:pt idx="0">
                        <c:v>Accuracy (bereinigt)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Daten!$E$2:$E$13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0.74299999999999999</c:v>
                      </c:pt>
                      <c:pt idx="1">
                        <c:v>0.79300000000000004</c:v>
                      </c:pt>
                      <c:pt idx="2">
                        <c:v>0.80200000000000005</c:v>
                      </c:pt>
                      <c:pt idx="3">
                        <c:v>0.72799999999999998</c:v>
                      </c:pt>
                      <c:pt idx="4">
                        <c:v>0.88600000000000001</c:v>
                      </c:pt>
                      <c:pt idx="5">
                        <c:v>0.70199999999999996</c:v>
                      </c:pt>
                      <c:pt idx="6">
                        <c:v>0.44900000000000001</c:v>
                      </c:pt>
                      <c:pt idx="7">
                        <c:v>0.69299999999999995</c:v>
                      </c:pt>
                      <c:pt idx="8">
                        <c:v>0.78</c:v>
                      </c:pt>
                      <c:pt idx="9">
                        <c:v>0.71899999999999997</c:v>
                      </c:pt>
                      <c:pt idx="10">
                        <c:v>0.32900000000000001</c:v>
                      </c:pt>
                      <c:pt idx="11">
                        <c:v>0.84899999999999998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0B3-4B07-A11C-30B12C306E90}"/>
                  </c:ext>
                </c:extLst>
              </c15:ser>
            </c15:filteredBarSeries>
          </c:ext>
        </c:extLst>
      </c:barChart>
      <c:catAx>
        <c:axId val="110115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01152736"/>
        <c:crosses val="autoZero"/>
        <c:auto val="1"/>
        <c:lblAlgn val="ctr"/>
        <c:lblOffset val="100"/>
        <c:noMultiLvlLbl val="0"/>
      </c:catAx>
      <c:valAx>
        <c:axId val="110115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01157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TP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4"/>
          <c:tx>
            <c:strRef>
              <c:f>Daten!$F$1</c:f>
              <c:strCache>
                <c:ptCount val="1"/>
                <c:pt idx="0">
                  <c:v>TP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Daten!$A$2:$A$13</c:f>
              <c:strCache>
                <c:ptCount val="12"/>
                <c:pt idx="0">
                  <c:v>Grok-3</c:v>
                </c:pt>
                <c:pt idx="1">
                  <c:v>GPT5</c:v>
                </c:pt>
                <c:pt idx="2">
                  <c:v>GPT4</c:v>
                </c:pt>
                <c:pt idx="3">
                  <c:v>OSS120B</c:v>
                </c:pt>
                <c:pt idx="4">
                  <c:v>GPT o4-mini</c:v>
                </c:pt>
                <c:pt idx="5">
                  <c:v>DeepseekR1</c:v>
                </c:pt>
                <c:pt idx="6">
                  <c:v>OSS20B</c:v>
                </c:pt>
                <c:pt idx="7">
                  <c:v>Gemma27B</c:v>
                </c:pt>
                <c:pt idx="8">
                  <c:v>Mistral8B</c:v>
                </c:pt>
                <c:pt idx="9">
                  <c:v>LLama38B</c:v>
                </c:pt>
                <c:pt idx="10">
                  <c:v>Llama3DiscoLeo8B</c:v>
                </c:pt>
                <c:pt idx="11">
                  <c:v>GeminiFlashLite2.5</c:v>
                </c:pt>
              </c:strCache>
            </c:strRef>
          </c:cat>
          <c:val>
            <c:numRef>
              <c:f>Daten!$F$2:$F$13</c:f>
              <c:numCache>
                <c:formatCode>General</c:formatCode>
                <c:ptCount val="12"/>
                <c:pt idx="0">
                  <c:v>88</c:v>
                </c:pt>
                <c:pt idx="1">
                  <c:v>87</c:v>
                </c:pt>
                <c:pt idx="2">
                  <c:v>72</c:v>
                </c:pt>
                <c:pt idx="3">
                  <c:v>53</c:v>
                </c:pt>
                <c:pt idx="4">
                  <c:v>50</c:v>
                </c:pt>
                <c:pt idx="5">
                  <c:v>74</c:v>
                </c:pt>
                <c:pt idx="6">
                  <c:v>101</c:v>
                </c:pt>
                <c:pt idx="7">
                  <c:v>82</c:v>
                </c:pt>
                <c:pt idx="8">
                  <c:v>65</c:v>
                </c:pt>
                <c:pt idx="9">
                  <c:v>77</c:v>
                </c:pt>
                <c:pt idx="10">
                  <c:v>128</c:v>
                </c:pt>
                <c:pt idx="11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38-4F6F-8AC5-14554D7E4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1157056"/>
        <c:axId val="110115273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Daten!$B$1</c15:sqref>
                        </c15:formulaRef>
                      </c:ext>
                    </c:extLst>
                    <c:strCache>
                      <c:ptCount val="1"/>
                      <c:pt idx="0">
                        <c:v>Gesamtanzahl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Daten!$B$2:$B$13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3004</c:v>
                      </c:pt>
                      <c:pt idx="1">
                        <c:v>3004</c:v>
                      </c:pt>
                      <c:pt idx="2">
                        <c:v>3004</c:v>
                      </c:pt>
                      <c:pt idx="3">
                        <c:v>3004</c:v>
                      </c:pt>
                      <c:pt idx="4">
                        <c:v>3004</c:v>
                      </c:pt>
                      <c:pt idx="5">
                        <c:v>3004</c:v>
                      </c:pt>
                      <c:pt idx="6">
                        <c:v>3004</c:v>
                      </c:pt>
                      <c:pt idx="7">
                        <c:v>3004</c:v>
                      </c:pt>
                      <c:pt idx="8">
                        <c:v>3004</c:v>
                      </c:pt>
                      <c:pt idx="9">
                        <c:v>3004</c:v>
                      </c:pt>
                      <c:pt idx="10">
                        <c:v>3004</c:v>
                      </c:pt>
                      <c:pt idx="11">
                        <c:v>3004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A638-4F6F-8AC5-14554D7E4311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Daten!$C$1</c15:sqref>
                        </c15:formulaRef>
                      </c:ext>
                    </c:extLst>
                    <c:strCache>
                      <c:ptCount val="1"/>
                      <c:pt idx="0">
                        <c:v>Anzahl_Klassifikationen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Daten!$C$2:$C$13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2996</c:v>
                      </c:pt>
                      <c:pt idx="1">
                        <c:v>2990</c:v>
                      </c:pt>
                      <c:pt idx="2">
                        <c:v>2998</c:v>
                      </c:pt>
                      <c:pt idx="3">
                        <c:v>3002</c:v>
                      </c:pt>
                      <c:pt idx="4">
                        <c:v>2996</c:v>
                      </c:pt>
                      <c:pt idx="5">
                        <c:v>2998</c:v>
                      </c:pt>
                      <c:pt idx="6">
                        <c:v>2973</c:v>
                      </c:pt>
                      <c:pt idx="7">
                        <c:v>2989</c:v>
                      </c:pt>
                      <c:pt idx="8">
                        <c:v>2996</c:v>
                      </c:pt>
                      <c:pt idx="9">
                        <c:v>3002</c:v>
                      </c:pt>
                      <c:pt idx="10">
                        <c:v>2995</c:v>
                      </c:pt>
                      <c:pt idx="11">
                        <c:v>3000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638-4F6F-8AC5-14554D7E4311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Daten!$D$1</c15:sqref>
                        </c15:formulaRef>
                      </c:ext>
                    </c:extLst>
                    <c:strCache>
                      <c:ptCount val="1"/>
                      <c:pt idx="0">
                        <c:v>Fehlende ('-'/NaN/leer)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Daten!$D$2:$D$13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</c:v>
                      </c:pt>
                      <c:pt idx="1">
                        <c:v>14</c:v>
                      </c:pt>
                      <c:pt idx="2">
                        <c:v>6</c:v>
                      </c:pt>
                      <c:pt idx="3">
                        <c:v>2</c:v>
                      </c:pt>
                      <c:pt idx="4">
                        <c:v>8</c:v>
                      </c:pt>
                      <c:pt idx="5">
                        <c:v>6</c:v>
                      </c:pt>
                      <c:pt idx="6">
                        <c:v>31</c:v>
                      </c:pt>
                      <c:pt idx="7">
                        <c:v>15</c:v>
                      </c:pt>
                      <c:pt idx="8">
                        <c:v>8</c:v>
                      </c:pt>
                      <c:pt idx="9">
                        <c:v>2</c:v>
                      </c:pt>
                      <c:pt idx="10">
                        <c:v>9</c:v>
                      </c:pt>
                      <c:pt idx="11">
                        <c:v>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638-4F6F-8AC5-14554D7E4311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Daten!$E$1</c15:sqref>
                        </c15:formulaRef>
                      </c:ext>
                    </c:extLst>
                    <c:strCache>
                      <c:ptCount val="1"/>
                      <c:pt idx="0">
                        <c:v>Accuracy (bereinigt)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Daten!$E$2:$E$13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0.74299999999999999</c:v>
                      </c:pt>
                      <c:pt idx="1">
                        <c:v>0.79300000000000004</c:v>
                      </c:pt>
                      <c:pt idx="2">
                        <c:v>0.80200000000000005</c:v>
                      </c:pt>
                      <c:pt idx="3">
                        <c:v>0.72799999999999998</c:v>
                      </c:pt>
                      <c:pt idx="4">
                        <c:v>0.88600000000000001</c:v>
                      </c:pt>
                      <c:pt idx="5">
                        <c:v>0.70199999999999996</c:v>
                      </c:pt>
                      <c:pt idx="6">
                        <c:v>0.44900000000000001</c:v>
                      </c:pt>
                      <c:pt idx="7">
                        <c:v>0.69299999999999995</c:v>
                      </c:pt>
                      <c:pt idx="8">
                        <c:v>0.78</c:v>
                      </c:pt>
                      <c:pt idx="9">
                        <c:v>0.71899999999999997</c:v>
                      </c:pt>
                      <c:pt idx="10">
                        <c:v>0.32900000000000001</c:v>
                      </c:pt>
                      <c:pt idx="11">
                        <c:v>0.84899999999999998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638-4F6F-8AC5-14554D7E4311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Daten!$G$1</c15:sqref>
                        </c15:formulaRef>
                      </c:ext>
                    </c:extLst>
                    <c:strCache>
                      <c:ptCount val="1"/>
                      <c:pt idx="0">
                        <c:v>FP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Daten!$G$2:$G$13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721</c:v>
                      </c:pt>
                      <c:pt idx="1">
                        <c:v>570</c:v>
                      </c:pt>
                      <c:pt idx="2">
                        <c:v>530</c:v>
                      </c:pt>
                      <c:pt idx="3">
                        <c:v>734</c:v>
                      </c:pt>
                      <c:pt idx="4">
                        <c:v>256</c:v>
                      </c:pt>
                      <c:pt idx="5">
                        <c:v>830</c:v>
                      </c:pt>
                      <c:pt idx="6">
                        <c:v>1604</c:v>
                      </c:pt>
                      <c:pt idx="7">
                        <c:v>864</c:v>
                      </c:pt>
                      <c:pt idx="8">
                        <c:v>588</c:v>
                      </c:pt>
                      <c:pt idx="9">
                        <c:v>785</c:v>
                      </c:pt>
                      <c:pt idx="10">
                        <c:v>2002</c:v>
                      </c:pt>
                      <c:pt idx="11">
                        <c:v>364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A638-4F6F-8AC5-14554D7E4311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Daten!$H$1</c15:sqref>
                        </c15:formulaRef>
                      </c:ext>
                    </c:extLst>
                    <c:strCache>
                      <c:ptCount val="1"/>
                      <c:pt idx="0">
                        <c:v>FN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Daten!$H$2:$H$13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49</c:v>
                      </c:pt>
                      <c:pt idx="1">
                        <c:v>50</c:v>
                      </c:pt>
                      <c:pt idx="2">
                        <c:v>65</c:v>
                      </c:pt>
                      <c:pt idx="3">
                        <c:v>83</c:v>
                      </c:pt>
                      <c:pt idx="4">
                        <c:v>86</c:v>
                      </c:pt>
                      <c:pt idx="5">
                        <c:v>63</c:v>
                      </c:pt>
                      <c:pt idx="6">
                        <c:v>34</c:v>
                      </c:pt>
                      <c:pt idx="7">
                        <c:v>54</c:v>
                      </c:pt>
                      <c:pt idx="8">
                        <c:v>71</c:v>
                      </c:pt>
                      <c:pt idx="9">
                        <c:v>60</c:v>
                      </c:pt>
                      <c:pt idx="10">
                        <c:v>8</c:v>
                      </c:pt>
                      <c:pt idx="11">
                        <c:v>90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A638-4F6F-8AC5-14554D7E4311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Daten!$I$1</c15:sqref>
                        </c15:formulaRef>
                      </c:ext>
                    </c:extLst>
                    <c:strCache>
                      <c:ptCount val="1"/>
                      <c:pt idx="0">
                        <c:v>TN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Daten!$I$2:$I$13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2138</c:v>
                      </c:pt>
                      <c:pt idx="1">
                        <c:v>2283</c:v>
                      </c:pt>
                      <c:pt idx="2">
                        <c:v>2331</c:v>
                      </c:pt>
                      <c:pt idx="3">
                        <c:v>2132</c:v>
                      </c:pt>
                      <c:pt idx="4">
                        <c:v>2604</c:v>
                      </c:pt>
                      <c:pt idx="5">
                        <c:v>2031</c:v>
                      </c:pt>
                      <c:pt idx="6">
                        <c:v>1234</c:v>
                      </c:pt>
                      <c:pt idx="7">
                        <c:v>1989</c:v>
                      </c:pt>
                      <c:pt idx="8">
                        <c:v>2272</c:v>
                      </c:pt>
                      <c:pt idx="9">
                        <c:v>2080</c:v>
                      </c:pt>
                      <c:pt idx="10">
                        <c:v>857</c:v>
                      </c:pt>
                      <c:pt idx="11">
                        <c:v>2499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638-4F6F-8AC5-14554D7E4311}"/>
                  </c:ext>
                </c:extLst>
              </c15:ser>
            </c15:filteredBarSeries>
          </c:ext>
        </c:extLst>
      </c:barChart>
      <c:catAx>
        <c:axId val="110115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01152736"/>
        <c:crosses val="autoZero"/>
        <c:auto val="1"/>
        <c:lblAlgn val="ctr"/>
        <c:lblOffset val="100"/>
        <c:noMultiLvlLbl val="0"/>
      </c:catAx>
      <c:valAx>
        <c:axId val="110115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01157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FP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5"/>
          <c:tx>
            <c:strRef>
              <c:f>Daten!$G$1</c:f>
              <c:strCache>
                <c:ptCount val="1"/>
                <c:pt idx="0">
                  <c:v>FP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Daten!$A$2:$A$13</c:f>
              <c:strCache>
                <c:ptCount val="12"/>
                <c:pt idx="0">
                  <c:v>Grok-3</c:v>
                </c:pt>
                <c:pt idx="1">
                  <c:v>GPT5</c:v>
                </c:pt>
                <c:pt idx="2">
                  <c:v>GPT4</c:v>
                </c:pt>
                <c:pt idx="3">
                  <c:v>OSS120B</c:v>
                </c:pt>
                <c:pt idx="4">
                  <c:v>GPT o4-mini</c:v>
                </c:pt>
                <c:pt idx="5">
                  <c:v>DeepseekR1</c:v>
                </c:pt>
                <c:pt idx="6">
                  <c:v>OSS20B</c:v>
                </c:pt>
                <c:pt idx="7">
                  <c:v>Gemma27B</c:v>
                </c:pt>
                <c:pt idx="8">
                  <c:v>Mistral8B</c:v>
                </c:pt>
                <c:pt idx="9">
                  <c:v>LLama38B</c:v>
                </c:pt>
                <c:pt idx="10">
                  <c:v>Llama3DiscoLeo8B</c:v>
                </c:pt>
                <c:pt idx="11">
                  <c:v>GeminiFlashLite2.5</c:v>
                </c:pt>
              </c:strCache>
            </c:strRef>
          </c:cat>
          <c:val>
            <c:numRef>
              <c:f>Daten!$G$2:$G$13</c:f>
              <c:numCache>
                <c:formatCode>General</c:formatCode>
                <c:ptCount val="12"/>
                <c:pt idx="0">
                  <c:v>721</c:v>
                </c:pt>
                <c:pt idx="1">
                  <c:v>570</c:v>
                </c:pt>
                <c:pt idx="2">
                  <c:v>530</c:v>
                </c:pt>
                <c:pt idx="3">
                  <c:v>734</c:v>
                </c:pt>
                <c:pt idx="4">
                  <c:v>256</c:v>
                </c:pt>
                <c:pt idx="5">
                  <c:v>830</c:v>
                </c:pt>
                <c:pt idx="6">
                  <c:v>1604</c:v>
                </c:pt>
                <c:pt idx="7">
                  <c:v>864</c:v>
                </c:pt>
                <c:pt idx="8">
                  <c:v>588</c:v>
                </c:pt>
                <c:pt idx="9">
                  <c:v>785</c:v>
                </c:pt>
                <c:pt idx="10">
                  <c:v>2002</c:v>
                </c:pt>
                <c:pt idx="11">
                  <c:v>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B8-4117-AB7D-E3452A9A08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1157056"/>
        <c:axId val="110115273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Daten!$B$1</c15:sqref>
                        </c15:formulaRef>
                      </c:ext>
                    </c:extLst>
                    <c:strCache>
                      <c:ptCount val="1"/>
                      <c:pt idx="0">
                        <c:v>Gesamtanzahl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Daten!$B$2:$B$13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3004</c:v>
                      </c:pt>
                      <c:pt idx="1">
                        <c:v>3004</c:v>
                      </c:pt>
                      <c:pt idx="2">
                        <c:v>3004</c:v>
                      </c:pt>
                      <c:pt idx="3">
                        <c:v>3004</c:v>
                      </c:pt>
                      <c:pt idx="4">
                        <c:v>3004</c:v>
                      </c:pt>
                      <c:pt idx="5">
                        <c:v>3004</c:v>
                      </c:pt>
                      <c:pt idx="6">
                        <c:v>3004</c:v>
                      </c:pt>
                      <c:pt idx="7">
                        <c:v>3004</c:v>
                      </c:pt>
                      <c:pt idx="8">
                        <c:v>3004</c:v>
                      </c:pt>
                      <c:pt idx="9">
                        <c:v>3004</c:v>
                      </c:pt>
                      <c:pt idx="10">
                        <c:v>3004</c:v>
                      </c:pt>
                      <c:pt idx="11">
                        <c:v>3004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66B8-4117-AB7D-E3452A9A08E1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Daten!$C$1</c15:sqref>
                        </c15:formulaRef>
                      </c:ext>
                    </c:extLst>
                    <c:strCache>
                      <c:ptCount val="1"/>
                      <c:pt idx="0">
                        <c:v>Anzahl_Klassifikationen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Daten!$C$2:$C$13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2996</c:v>
                      </c:pt>
                      <c:pt idx="1">
                        <c:v>2990</c:v>
                      </c:pt>
                      <c:pt idx="2">
                        <c:v>2998</c:v>
                      </c:pt>
                      <c:pt idx="3">
                        <c:v>3002</c:v>
                      </c:pt>
                      <c:pt idx="4">
                        <c:v>2996</c:v>
                      </c:pt>
                      <c:pt idx="5">
                        <c:v>2998</c:v>
                      </c:pt>
                      <c:pt idx="6">
                        <c:v>2973</c:v>
                      </c:pt>
                      <c:pt idx="7">
                        <c:v>2989</c:v>
                      </c:pt>
                      <c:pt idx="8">
                        <c:v>2996</c:v>
                      </c:pt>
                      <c:pt idx="9">
                        <c:v>3002</c:v>
                      </c:pt>
                      <c:pt idx="10">
                        <c:v>2995</c:v>
                      </c:pt>
                      <c:pt idx="11">
                        <c:v>3000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6B8-4117-AB7D-E3452A9A08E1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Daten!$D$1</c15:sqref>
                        </c15:formulaRef>
                      </c:ext>
                    </c:extLst>
                    <c:strCache>
                      <c:ptCount val="1"/>
                      <c:pt idx="0">
                        <c:v>Fehlende ('-'/NaN/leer)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Daten!$D$2:$D$13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</c:v>
                      </c:pt>
                      <c:pt idx="1">
                        <c:v>14</c:v>
                      </c:pt>
                      <c:pt idx="2">
                        <c:v>6</c:v>
                      </c:pt>
                      <c:pt idx="3">
                        <c:v>2</c:v>
                      </c:pt>
                      <c:pt idx="4">
                        <c:v>8</c:v>
                      </c:pt>
                      <c:pt idx="5">
                        <c:v>6</c:v>
                      </c:pt>
                      <c:pt idx="6">
                        <c:v>31</c:v>
                      </c:pt>
                      <c:pt idx="7">
                        <c:v>15</c:v>
                      </c:pt>
                      <c:pt idx="8">
                        <c:v>8</c:v>
                      </c:pt>
                      <c:pt idx="9">
                        <c:v>2</c:v>
                      </c:pt>
                      <c:pt idx="10">
                        <c:v>9</c:v>
                      </c:pt>
                      <c:pt idx="11">
                        <c:v>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6B8-4117-AB7D-E3452A9A08E1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Daten!$E$1</c15:sqref>
                        </c15:formulaRef>
                      </c:ext>
                    </c:extLst>
                    <c:strCache>
                      <c:ptCount val="1"/>
                      <c:pt idx="0">
                        <c:v>Accuracy (bereinigt)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Daten!$E$2:$E$13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0.74299999999999999</c:v>
                      </c:pt>
                      <c:pt idx="1">
                        <c:v>0.79300000000000004</c:v>
                      </c:pt>
                      <c:pt idx="2">
                        <c:v>0.80200000000000005</c:v>
                      </c:pt>
                      <c:pt idx="3">
                        <c:v>0.72799999999999998</c:v>
                      </c:pt>
                      <c:pt idx="4">
                        <c:v>0.88600000000000001</c:v>
                      </c:pt>
                      <c:pt idx="5">
                        <c:v>0.70199999999999996</c:v>
                      </c:pt>
                      <c:pt idx="6">
                        <c:v>0.44900000000000001</c:v>
                      </c:pt>
                      <c:pt idx="7">
                        <c:v>0.69299999999999995</c:v>
                      </c:pt>
                      <c:pt idx="8">
                        <c:v>0.78</c:v>
                      </c:pt>
                      <c:pt idx="9">
                        <c:v>0.71899999999999997</c:v>
                      </c:pt>
                      <c:pt idx="10">
                        <c:v>0.32900000000000001</c:v>
                      </c:pt>
                      <c:pt idx="11">
                        <c:v>0.84899999999999998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6B8-4117-AB7D-E3452A9A08E1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Daten!$F$1</c15:sqref>
                        </c15:formulaRef>
                      </c:ext>
                    </c:extLst>
                    <c:strCache>
                      <c:ptCount val="1"/>
                      <c:pt idx="0">
                        <c:v>TP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Daten!$F$2:$F$13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88</c:v>
                      </c:pt>
                      <c:pt idx="1">
                        <c:v>87</c:v>
                      </c:pt>
                      <c:pt idx="2">
                        <c:v>72</c:v>
                      </c:pt>
                      <c:pt idx="3">
                        <c:v>53</c:v>
                      </c:pt>
                      <c:pt idx="4">
                        <c:v>50</c:v>
                      </c:pt>
                      <c:pt idx="5">
                        <c:v>74</c:v>
                      </c:pt>
                      <c:pt idx="6">
                        <c:v>101</c:v>
                      </c:pt>
                      <c:pt idx="7">
                        <c:v>82</c:v>
                      </c:pt>
                      <c:pt idx="8">
                        <c:v>65</c:v>
                      </c:pt>
                      <c:pt idx="9">
                        <c:v>77</c:v>
                      </c:pt>
                      <c:pt idx="10">
                        <c:v>128</c:v>
                      </c:pt>
                      <c:pt idx="11">
                        <c:v>47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66B8-4117-AB7D-E3452A9A08E1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Daten!$H$1</c15:sqref>
                        </c15:formulaRef>
                      </c:ext>
                    </c:extLst>
                    <c:strCache>
                      <c:ptCount val="1"/>
                      <c:pt idx="0">
                        <c:v>FN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Daten!$H$2:$H$13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49</c:v>
                      </c:pt>
                      <c:pt idx="1">
                        <c:v>50</c:v>
                      </c:pt>
                      <c:pt idx="2">
                        <c:v>65</c:v>
                      </c:pt>
                      <c:pt idx="3">
                        <c:v>83</c:v>
                      </c:pt>
                      <c:pt idx="4">
                        <c:v>86</c:v>
                      </c:pt>
                      <c:pt idx="5">
                        <c:v>63</c:v>
                      </c:pt>
                      <c:pt idx="6">
                        <c:v>34</c:v>
                      </c:pt>
                      <c:pt idx="7">
                        <c:v>54</c:v>
                      </c:pt>
                      <c:pt idx="8">
                        <c:v>71</c:v>
                      </c:pt>
                      <c:pt idx="9">
                        <c:v>60</c:v>
                      </c:pt>
                      <c:pt idx="10">
                        <c:v>8</c:v>
                      </c:pt>
                      <c:pt idx="11">
                        <c:v>90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6B8-4117-AB7D-E3452A9A08E1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Daten!$I$1</c15:sqref>
                        </c15:formulaRef>
                      </c:ext>
                    </c:extLst>
                    <c:strCache>
                      <c:ptCount val="1"/>
                      <c:pt idx="0">
                        <c:v>TN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Daten!$I$2:$I$13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2138</c:v>
                      </c:pt>
                      <c:pt idx="1">
                        <c:v>2283</c:v>
                      </c:pt>
                      <c:pt idx="2">
                        <c:v>2331</c:v>
                      </c:pt>
                      <c:pt idx="3">
                        <c:v>2132</c:v>
                      </c:pt>
                      <c:pt idx="4">
                        <c:v>2604</c:v>
                      </c:pt>
                      <c:pt idx="5">
                        <c:v>2031</c:v>
                      </c:pt>
                      <c:pt idx="6">
                        <c:v>1234</c:v>
                      </c:pt>
                      <c:pt idx="7">
                        <c:v>1989</c:v>
                      </c:pt>
                      <c:pt idx="8">
                        <c:v>2272</c:v>
                      </c:pt>
                      <c:pt idx="9">
                        <c:v>2080</c:v>
                      </c:pt>
                      <c:pt idx="10">
                        <c:v>857</c:v>
                      </c:pt>
                      <c:pt idx="11">
                        <c:v>2499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6B8-4117-AB7D-E3452A9A08E1}"/>
                  </c:ext>
                </c:extLst>
              </c15:ser>
            </c15:filteredBarSeries>
          </c:ext>
        </c:extLst>
      </c:barChart>
      <c:catAx>
        <c:axId val="110115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01152736"/>
        <c:crosses val="autoZero"/>
        <c:auto val="1"/>
        <c:lblAlgn val="ctr"/>
        <c:lblOffset val="100"/>
        <c:noMultiLvlLbl val="0"/>
      </c:catAx>
      <c:valAx>
        <c:axId val="110115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01157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FN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6"/>
          <c:order val="6"/>
          <c:tx>
            <c:strRef>
              <c:f>Daten!$H$1</c:f>
              <c:strCache>
                <c:ptCount val="1"/>
                <c:pt idx="0">
                  <c:v>FN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Daten!$A$2:$A$13</c:f>
              <c:strCache>
                <c:ptCount val="12"/>
                <c:pt idx="0">
                  <c:v>Grok-3</c:v>
                </c:pt>
                <c:pt idx="1">
                  <c:v>GPT5</c:v>
                </c:pt>
                <c:pt idx="2">
                  <c:v>GPT4</c:v>
                </c:pt>
                <c:pt idx="3">
                  <c:v>OSS120B</c:v>
                </c:pt>
                <c:pt idx="4">
                  <c:v>GPT o4-mini</c:v>
                </c:pt>
                <c:pt idx="5">
                  <c:v>DeepseekR1</c:v>
                </c:pt>
                <c:pt idx="6">
                  <c:v>OSS20B</c:v>
                </c:pt>
                <c:pt idx="7">
                  <c:v>Gemma27B</c:v>
                </c:pt>
                <c:pt idx="8">
                  <c:v>Mistral8B</c:v>
                </c:pt>
                <c:pt idx="9">
                  <c:v>LLama38B</c:v>
                </c:pt>
                <c:pt idx="10">
                  <c:v>Llama3DiscoLeo8B</c:v>
                </c:pt>
                <c:pt idx="11">
                  <c:v>GeminiFlashLite2.5</c:v>
                </c:pt>
              </c:strCache>
            </c:strRef>
          </c:cat>
          <c:val>
            <c:numRef>
              <c:f>Daten!$H$2:$H$13</c:f>
              <c:numCache>
                <c:formatCode>General</c:formatCode>
                <c:ptCount val="12"/>
                <c:pt idx="0">
                  <c:v>49</c:v>
                </c:pt>
                <c:pt idx="1">
                  <c:v>50</c:v>
                </c:pt>
                <c:pt idx="2">
                  <c:v>65</c:v>
                </c:pt>
                <c:pt idx="3">
                  <c:v>83</c:v>
                </c:pt>
                <c:pt idx="4">
                  <c:v>86</c:v>
                </c:pt>
                <c:pt idx="5">
                  <c:v>63</c:v>
                </c:pt>
                <c:pt idx="6">
                  <c:v>34</c:v>
                </c:pt>
                <c:pt idx="7">
                  <c:v>54</c:v>
                </c:pt>
                <c:pt idx="8">
                  <c:v>71</c:v>
                </c:pt>
                <c:pt idx="9">
                  <c:v>60</c:v>
                </c:pt>
                <c:pt idx="10">
                  <c:v>8</c:v>
                </c:pt>
                <c:pt idx="11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05-468E-99BA-AF72A8EAE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1157056"/>
        <c:axId val="110115273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Daten!$B$1</c15:sqref>
                        </c15:formulaRef>
                      </c:ext>
                    </c:extLst>
                    <c:strCache>
                      <c:ptCount val="1"/>
                      <c:pt idx="0">
                        <c:v>Gesamtanzahl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Daten!$B$2:$B$13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3004</c:v>
                      </c:pt>
                      <c:pt idx="1">
                        <c:v>3004</c:v>
                      </c:pt>
                      <c:pt idx="2">
                        <c:v>3004</c:v>
                      </c:pt>
                      <c:pt idx="3">
                        <c:v>3004</c:v>
                      </c:pt>
                      <c:pt idx="4">
                        <c:v>3004</c:v>
                      </c:pt>
                      <c:pt idx="5">
                        <c:v>3004</c:v>
                      </c:pt>
                      <c:pt idx="6">
                        <c:v>3004</c:v>
                      </c:pt>
                      <c:pt idx="7">
                        <c:v>3004</c:v>
                      </c:pt>
                      <c:pt idx="8">
                        <c:v>3004</c:v>
                      </c:pt>
                      <c:pt idx="9">
                        <c:v>3004</c:v>
                      </c:pt>
                      <c:pt idx="10">
                        <c:v>3004</c:v>
                      </c:pt>
                      <c:pt idx="11">
                        <c:v>3004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BE05-468E-99BA-AF72A8EAED0B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Daten!$C$1</c15:sqref>
                        </c15:formulaRef>
                      </c:ext>
                    </c:extLst>
                    <c:strCache>
                      <c:ptCount val="1"/>
                      <c:pt idx="0">
                        <c:v>Anzahl_Klassifikationen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Daten!$C$2:$C$13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2996</c:v>
                      </c:pt>
                      <c:pt idx="1">
                        <c:v>2990</c:v>
                      </c:pt>
                      <c:pt idx="2">
                        <c:v>2998</c:v>
                      </c:pt>
                      <c:pt idx="3">
                        <c:v>3002</c:v>
                      </c:pt>
                      <c:pt idx="4">
                        <c:v>2996</c:v>
                      </c:pt>
                      <c:pt idx="5">
                        <c:v>2998</c:v>
                      </c:pt>
                      <c:pt idx="6">
                        <c:v>2973</c:v>
                      </c:pt>
                      <c:pt idx="7">
                        <c:v>2989</c:v>
                      </c:pt>
                      <c:pt idx="8">
                        <c:v>2996</c:v>
                      </c:pt>
                      <c:pt idx="9">
                        <c:v>3002</c:v>
                      </c:pt>
                      <c:pt idx="10">
                        <c:v>2995</c:v>
                      </c:pt>
                      <c:pt idx="11">
                        <c:v>3000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E05-468E-99BA-AF72A8EAED0B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Daten!$D$1</c15:sqref>
                        </c15:formulaRef>
                      </c:ext>
                    </c:extLst>
                    <c:strCache>
                      <c:ptCount val="1"/>
                      <c:pt idx="0">
                        <c:v>Fehlende ('-'/NaN/leer)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Daten!$D$2:$D$13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</c:v>
                      </c:pt>
                      <c:pt idx="1">
                        <c:v>14</c:v>
                      </c:pt>
                      <c:pt idx="2">
                        <c:v>6</c:v>
                      </c:pt>
                      <c:pt idx="3">
                        <c:v>2</c:v>
                      </c:pt>
                      <c:pt idx="4">
                        <c:v>8</c:v>
                      </c:pt>
                      <c:pt idx="5">
                        <c:v>6</c:v>
                      </c:pt>
                      <c:pt idx="6">
                        <c:v>31</c:v>
                      </c:pt>
                      <c:pt idx="7">
                        <c:v>15</c:v>
                      </c:pt>
                      <c:pt idx="8">
                        <c:v>8</c:v>
                      </c:pt>
                      <c:pt idx="9">
                        <c:v>2</c:v>
                      </c:pt>
                      <c:pt idx="10">
                        <c:v>9</c:v>
                      </c:pt>
                      <c:pt idx="11">
                        <c:v>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E05-468E-99BA-AF72A8EAED0B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Daten!$E$1</c15:sqref>
                        </c15:formulaRef>
                      </c:ext>
                    </c:extLst>
                    <c:strCache>
                      <c:ptCount val="1"/>
                      <c:pt idx="0">
                        <c:v>Accuracy (bereinigt)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Daten!$E$2:$E$13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0.74299999999999999</c:v>
                      </c:pt>
                      <c:pt idx="1">
                        <c:v>0.79300000000000004</c:v>
                      </c:pt>
                      <c:pt idx="2">
                        <c:v>0.80200000000000005</c:v>
                      </c:pt>
                      <c:pt idx="3">
                        <c:v>0.72799999999999998</c:v>
                      </c:pt>
                      <c:pt idx="4">
                        <c:v>0.88600000000000001</c:v>
                      </c:pt>
                      <c:pt idx="5">
                        <c:v>0.70199999999999996</c:v>
                      </c:pt>
                      <c:pt idx="6">
                        <c:v>0.44900000000000001</c:v>
                      </c:pt>
                      <c:pt idx="7">
                        <c:v>0.69299999999999995</c:v>
                      </c:pt>
                      <c:pt idx="8">
                        <c:v>0.78</c:v>
                      </c:pt>
                      <c:pt idx="9">
                        <c:v>0.71899999999999997</c:v>
                      </c:pt>
                      <c:pt idx="10">
                        <c:v>0.32900000000000001</c:v>
                      </c:pt>
                      <c:pt idx="11">
                        <c:v>0.84899999999999998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E05-468E-99BA-AF72A8EAED0B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Daten!$F$1</c15:sqref>
                        </c15:formulaRef>
                      </c:ext>
                    </c:extLst>
                    <c:strCache>
                      <c:ptCount val="1"/>
                      <c:pt idx="0">
                        <c:v>TP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Daten!$F$2:$F$13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88</c:v>
                      </c:pt>
                      <c:pt idx="1">
                        <c:v>87</c:v>
                      </c:pt>
                      <c:pt idx="2">
                        <c:v>72</c:v>
                      </c:pt>
                      <c:pt idx="3">
                        <c:v>53</c:v>
                      </c:pt>
                      <c:pt idx="4">
                        <c:v>50</c:v>
                      </c:pt>
                      <c:pt idx="5">
                        <c:v>74</c:v>
                      </c:pt>
                      <c:pt idx="6">
                        <c:v>101</c:v>
                      </c:pt>
                      <c:pt idx="7">
                        <c:v>82</c:v>
                      </c:pt>
                      <c:pt idx="8">
                        <c:v>65</c:v>
                      </c:pt>
                      <c:pt idx="9">
                        <c:v>77</c:v>
                      </c:pt>
                      <c:pt idx="10">
                        <c:v>128</c:v>
                      </c:pt>
                      <c:pt idx="11">
                        <c:v>47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BE05-468E-99BA-AF72A8EAED0B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Daten!$G$1</c15:sqref>
                        </c15:formulaRef>
                      </c:ext>
                    </c:extLst>
                    <c:strCache>
                      <c:ptCount val="1"/>
                      <c:pt idx="0">
                        <c:v>FP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Daten!$G$2:$G$13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721</c:v>
                      </c:pt>
                      <c:pt idx="1">
                        <c:v>570</c:v>
                      </c:pt>
                      <c:pt idx="2">
                        <c:v>530</c:v>
                      </c:pt>
                      <c:pt idx="3">
                        <c:v>734</c:v>
                      </c:pt>
                      <c:pt idx="4">
                        <c:v>256</c:v>
                      </c:pt>
                      <c:pt idx="5">
                        <c:v>830</c:v>
                      </c:pt>
                      <c:pt idx="6">
                        <c:v>1604</c:v>
                      </c:pt>
                      <c:pt idx="7">
                        <c:v>864</c:v>
                      </c:pt>
                      <c:pt idx="8">
                        <c:v>588</c:v>
                      </c:pt>
                      <c:pt idx="9">
                        <c:v>785</c:v>
                      </c:pt>
                      <c:pt idx="10">
                        <c:v>2002</c:v>
                      </c:pt>
                      <c:pt idx="11">
                        <c:v>364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BE05-468E-99BA-AF72A8EAED0B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Daten!$I$1</c15:sqref>
                        </c15:formulaRef>
                      </c:ext>
                    </c:extLst>
                    <c:strCache>
                      <c:ptCount val="1"/>
                      <c:pt idx="0">
                        <c:v>TN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Daten!$I$2:$I$13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2138</c:v>
                      </c:pt>
                      <c:pt idx="1">
                        <c:v>2283</c:v>
                      </c:pt>
                      <c:pt idx="2">
                        <c:v>2331</c:v>
                      </c:pt>
                      <c:pt idx="3">
                        <c:v>2132</c:v>
                      </c:pt>
                      <c:pt idx="4">
                        <c:v>2604</c:v>
                      </c:pt>
                      <c:pt idx="5">
                        <c:v>2031</c:v>
                      </c:pt>
                      <c:pt idx="6">
                        <c:v>1234</c:v>
                      </c:pt>
                      <c:pt idx="7">
                        <c:v>1989</c:v>
                      </c:pt>
                      <c:pt idx="8">
                        <c:v>2272</c:v>
                      </c:pt>
                      <c:pt idx="9">
                        <c:v>2080</c:v>
                      </c:pt>
                      <c:pt idx="10">
                        <c:v>857</c:v>
                      </c:pt>
                      <c:pt idx="11">
                        <c:v>2499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E05-468E-99BA-AF72A8EAED0B}"/>
                  </c:ext>
                </c:extLst>
              </c15:ser>
            </c15:filteredBarSeries>
          </c:ext>
        </c:extLst>
      </c:barChart>
      <c:catAx>
        <c:axId val="110115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01152736"/>
        <c:crosses val="autoZero"/>
        <c:auto val="1"/>
        <c:lblAlgn val="ctr"/>
        <c:lblOffset val="100"/>
        <c:noMultiLvlLbl val="0"/>
      </c:catAx>
      <c:valAx>
        <c:axId val="110115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01157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TN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7"/>
          <c:order val="7"/>
          <c:tx>
            <c:strRef>
              <c:f>Daten!$I$1</c:f>
              <c:strCache>
                <c:ptCount val="1"/>
                <c:pt idx="0">
                  <c:v>TN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Daten!$A$2:$A$13</c:f>
              <c:strCache>
                <c:ptCount val="12"/>
                <c:pt idx="0">
                  <c:v>Grok-3</c:v>
                </c:pt>
                <c:pt idx="1">
                  <c:v>GPT5</c:v>
                </c:pt>
                <c:pt idx="2">
                  <c:v>GPT4</c:v>
                </c:pt>
                <c:pt idx="3">
                  <c:v>OSS120B</c:v>
                </c:pt>
                <c:pt idx="4">
                  <c:v>GPT o4-mini</c:v>
                </c:pt>
                <c:pt idx="5">
                  <c:v>DeepseekR1</c:v>
                </c:pt>
                <c:pt idx="6">
                  <c:v>OSS20B</c:v>
                </c:pt>
                <c:pt idx="7">
                  <c:v>Gemma27B</c:v>
                </c:pt>
                <c:pt idx="8">
                  <c:v>Mistral8B</c:v>
                </c:pt>
                <c:pt idx="9">
                  <c:v>LLama38B</c:v>
                </c:pt>
                <c:pt idx="10">
                  <c:v>Llama3DiscoLeo8B</c:v>
                </c:pt>
                <c:pt idx="11">
                  <c:v>GeminiFlashLite2.5</c:v>
                </c:pt>
              </c:strCache>
            </c:strRef>
          </c:cat>
          <c:val>
            <c:numRef>
              <c:f>Daten!$I$2:$I$13</c:f>
              <c:numCache>
                <c:formatCode>General</c:formatCode>
                <c:ptCount val="12"/>
                <c:pt idx="0">
                  <c:v>2138</c:v>
                </c:pt>
                <c:pt idx="1">
                  <c:v>2283</c:v>
                </c:pt>
                <c:pt idx="2">
                  <c:v>2331</c:v>
                </c:pt>
                <c:pt idx="3">
                  <c:v>2132</c:v>
                </c:pt>
                <c:pt idx="4">
                  <c:v>2604</c:v>
                </c:pt>
                <c:pt idx="5">
                  <c:v>2031</c:v>
                </c:pt>
                <c:pt idx="6">
                  <c:v>1234</c:v>
                </c:pt>
                <c:pt idx="7">
                  <c:v>1989</c:v>
                </c:pt>
                <c:pt idx="8">
                  <c:v>2272</c:v>
                </c:pt>
                <c:pt idx="9">
                  <c:v>2080</c:v>
                </c:pt>
                <c:pt idx="10">
                  <c:v>857</c:v>
                </c:pt>
                <c:pt idx="11">
                  <c:v>2499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8BA-44F8-BCEB-F8D10FF88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1157056"/>
        <c:axId val="110115273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Daten!$B$1</c15:sqref>
                        </c15:formulaRef>
                      </c:ext>
                    </c:extLst>
                    <c:strCache>
                      <c:ptCount val="1"/>
                      <c:pt idx="0">
                        <c:v>Gesamtanzahl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Daten!$B$2:$B$13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3004</c:v>
                      </c:pt>
                      <c:pt idx="1">
                        <c:v>3004</c:v>
                      </c:pt>
                      <c:pt idx="2">
                        <c:v>3004</c:v>
                      </c:pt>
                      <c:pt idx="3">
                        <c:v>3004</c:v>
                      </c:pt>
                      <c:pt idx="4">
                        <c:v>3004</c:v>
                      </c:pt>
                      <c:pt idx="5">
                        <c:v>3004</c:v>
                      </c:pt>
                      <c:pt idx="6">
                        <c:v>3004</c:v>
                      </c:pt>
                      <c:pt idx="7">
                        <c:v>3004</c:v>
                      </c:pt>
                      <c:pt idx="8">
                        <c:v>3004</c:v>
                      </c:pt>
                      <c:pt idx="9">
                        <c:v>3004</c:v>
                      </c:pt>
                      <c:pt idx="10">
                        <c:v>3004</c:v>
                      </c:pt>
                      <c:pt idx="11">
                        <c:v>3004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48BA-44F8-BCEB-F8D10FF88638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Daten!$C$1</c15:sqref>
                        </c15:formulaRef>
                      </c:ext>
                    </c:extLst>
                    <c:strCache>
                      <c:ptCount val="1"/>
                      <c:pt idx="0">
                        <c:v>Anzahl_Klassifikationen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Daten!$C$2:$C$13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2996</c:v>
                      </c:pt>
                      <c:pt idx="1">
                        <c:v>2990</c:v>
                      </c:pt>
                      <c:pt idx="2">
                        <c:v>2998</c:v>
                      </c:pt>
                      <c:pt idx="3">
                        <c:v>3002</c:v>
                      </c:pt>
                      <c:pt idx="4">
                        <c:v>2996</c:v>
                      </c:pt>
                      <c:pt idx="5">
                        <c:v>2998</c:v>
                      </c:pt>
                      <c:pt idx="6">
                        <c:v>2973</c:v>
                      </c:pt>
                      <c:pt idx="7">
                        <c:v>2989</c:v>
                      </c:pt>
                      <c:pt idx="8">
                        <c:v>2996</c:v>
                      </c:pt>
                      <c:pt idx="9">
                        <c:v>3002</c:v>
                      </c:pt>
                      <c:pt idx="10">
                        <c:v>2995</c:v>
                      </c:pt>
                      <c:pt idx="11">
                        <c:v>3000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8BA-44F8-BCEB-F8D10FF88638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Daten!$D$1</c15:sqref>
                        </c15:formulaRef>
                      </c:ext>
                    </c:extLst>
                    <c:strCache>
                      <c:ptCount val="1"/>
                      <c:pt idx="0">
                        <c:v>Fehlende ('-'/NaN/leer)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Daten!$D$2:$D$13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</c:v>
                      </c:pt>
                      <c:pt idx="1">
                        <c:v>14</c:v>
                      </c:pt>
                      <c:pt idx="2">
                        <c:v>6</c:v>
                      </c:pt>
                      <c:pt idx="3">
                        <c:v>2</c:v>
                      </c:pt>
                      <c:pt idx="4">
                        <c:v>8</c:v>
                      </c:pt>
                      <c:pt idx="5">
                        <c:v>6</c:v>
                      </c:pt>
                      <c:pt idx="6">
                        <c:v>31</c:v>
                      </c:pt>
                      <c:pt idx="7">
                        <c:v>15</c:v>
                      </c:pt>
                      <c:pt idx="8">
                        <c:v>8</c:v>
                      </c:pt>
                      <c:pt idx="9">
                        <c:v>2</c:v>
                      </c:pt>
                      <c:pt idx="10">
                        <c:v>9</c:v>
                      </c:pt>
                      <c:pt idx="11">
                        <c:v>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8BA-44F8-BCEB-F8D10FF88638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Daten!$E$1</c15:sqref>
                        </c15:formulaRef>
                      </c:ext>
                    </c:extLst>
                    <c:strCache>
                      <c:ptCount val="1"/>
                      <c:pt idx="0">
                        <c:v>Accuracy (bereinigt)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Daten!$E$2:$E$13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0.74299999999999999</c:v>
                      </c:pt>
                      <c:pt idx="1">
                        <c:v>0.79300000000000004</c:v>
                      </c:pt>
                      <c:pt idx="2">
                        <c:v>0.80200000000000005</c:v>
                      </c:pt>
                      <c:pt idx="3">
                        <c:v>0.72799999999999998</c:v>
                      </c:pt>
                      <c:pt idx="4">
                        <c:v>0.88600000000000001</c:v>
                      </c:pt>
                      <c:pt idx="5">
                        <c:v>0.70199999999999996</c:v>
                      </c:pt>
                      <c:pt idx="6">
                        <c:v>0.44900000000000001</c:v>
                      </c:pt>
                      <c:pt idx="7">
                        <c:v>0.69299999999999995</c:v>
                      </c:pt>
                      <c:pt idx="8">
                        <c:v>0.78</c:v>
                      </c:pt>
                      <c:pt idx="9">
                        <c:v>0.71899999999999997</c:v>
                      </c:pt>
                      <c:pt idx="10">
                        <c:v>0.32900000000000001</c:v>
                      </c:pt>
                      <c:pt idx="11">
                        <c:v>0.84899999999999998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8BA-44F8-BCEB-F8D10FF88638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Daten!$F$1</c15:sqref>
                        </c15:formulaRef>
                      </c:ext>
                    </c:extLst>
                    <c:strCache>
                      <c:ptCount val="1"/>
                      <c:pt idx="0">
                        <c:v>TP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Daten!$F$2:$F$13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88</c:v>
                      </c:pt>
                      <c:pt idx="1">
                        <c:v>87</c:v>
                      </c:pt>
                      <c:pt idx="2">
                        <c:v>72</c:v>
                      </c:pt>
                      <c:pt idx="3">
                        <c:v>53</c:v>
                      </c:pt>
                      <c:pt idx="4">
                        <c:v>50</c:v>
                      </c:pt>
                      <c:pt idx="5">
                        <c:v>74</c:v>
                      </c:pt>
                      <c:pt idx="6">
                        <c:v>101</c:v>
                      </c:pt>
                      <c:pt idx="7">
                        <c:v>82</c:v>
                      </c:pt>
                      <c:pt idx="8">
                        <c:v>65</c:v>
                      </c:pt>
                      <c:pt idx="9">
                        <c:v>77</c:v>
                      </c:pt>
                      <c:pt idx="10">
                        <c:v>128</c:v>
                      </c:pt>
                      <c:pt idx="11">
                        <c:v>47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48BA-44F8-BCEB-F8D10FF88638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Daten!$G$1</c15:sqref>
                        </c15:formulaRef>
                      </c:ext>
                    </c:extLst>
                    <c:strCache>
                      <c:ptCount val="1"/>
                      <c:pt idx="0">
                        <c:v>FP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Daten!$G$2:$G$13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721</c:v>
                      </c:pt>
                      <c:pt idx="1">
                        <c:v>570</c:v>
                      </c:pt>
                      <c:pt idx="2">
                        <c:v>530</c:v>
                      </c:pt>
                      <c:pt idx="3">
                        <c:v>734</c:v>
                      </c:pt>
                      <c:pt idx="4">
                        <c:v>256</c:v>
                      </c:pt>
                      <c:pt idx="5">
                        <c:v>830</c:v>
                      </c:pt>
                      <c:pt idx="6">
                        <c:v>1604</c:v>
                      </c:pt>
                      <c:pt idx="7">
                        <c:v>864</c:v>
                      </c:pt>
                      <c:pt idx="8">
                        <c:v>588</c:v>
                      </c:pt>
                      <c:pt idx="9">
                        <c:v>785</c:v>
                      </c:pt>
                      <c:pt idx="10">
                        <c:v>2002</c:v>
                      </c:pt>
                      <c:pt idx="11">
                        <c:v>364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48BA-44F8-BCEB-F8D10FF88638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Daten!$H$1</c15:sqref>
                        </c15:formulaRef>
                      </c:ext>
                    </c:extLst>
                    <c:strCache>
                      <c:ptCount val="1"/>
                      <c:pt idx="0">
                        <c:v>FN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Daten!$A$2:$A$13</c15:sqref>
                        </c15:formulaRef>
                      </c:ext>
                    </c:extLst>
                    <c:strCache>
                      <c:ptCount val="12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OSS20B</c:v>
                      </c:pt>
                      <c:pt idx="7">
                        <c:v>Gemma27B</c:v>
                      </c:pt>
                      <c:pt idx="8">
                        <c:v>Mistral8B</c:v>
                      </c:pt>
                      <c:pt idx="9">
                        <c:v>LLama38B</c:v>
                      </c:pt>
                      <c:pt idx="10">
                        <c:v>Llama3DiscoLeo8B</c:v>
                      </c:pt>
                      <c:pt idx="11">
                        <c:v>GeminiFlashLite2.5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Daten!$H$2:$H$13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49</c:v>
                      </c:pt>
                      <c:pt idx="1">
                        <c:v>50</c:v>
                      </c:pt>
                      <c:pt idx="2">
                        <c:v>65</c:v>
                      </c:pt>
                      <c:pt idx="3">
                        <c:v>83</c:v>
                      </c:pt>
                      <c:pt idx="4">
                        <c:v>86</c:v>
                      </c:pt>
                      <c:pt idx="5">
                        <c:v>63</c:v>
                      </c:pt>
                      <c:pt idx="6">
                        <c:v>34</c:v>
                      </c:pt>
                      <c:pt idx="7">
                        <c:v>54</c:v>
                      </c:pt>
                      <c:pt idx="8">
                        <c:v>71</c:v>
                      </c:pt>
                      <c:pt idx="9">
                        <c:v>60</c:v>
                      </c:pt>
                      <c:pt idx="10">
                        <c:v>8</c:v>
                      </c:pt>
                      <c:pt idx="11">
                        <c:v>90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8BA-44F8-BCEB-F8D10FF88638}"/>
                  </c:ext>
                </c:extLst>
              </c15:ser>
            </c15:filteredBarSeries>
          </c:ext>
        </c:extLst>
      </c:barChart>
      <c:catAx>
        <c:axId val="110115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01152736"/>
        <c:crosses val="autoZero"/>
        <c:auto val="1"/>
        <c:lblAlgn val="ctr"/>
        <c:lblOffset val="100"/>
        <c:noMultiLvlLbl val="0"/>
      </c:catAx>
      <c:valAx>
        <c:axId val="110115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01157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Precision</a:t>
            </a:r>
            <a:r>
              <a:rPr lang="de-DE" baseline="0"/>
              <a:t> </a:t>
            </a:r>
            <a:r>
              <a:rPr lang="de-DE"/>
              <a:t>unwirksam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8"/>
          <c:order val="8"/>
          <c:tx>
            <c:strRef>
              <c:f>Daten!$J$1</c:f>
              <c:strCache>
                <c:ptCount val="1"/>
                <c:pt idx="0">
                  <c:v>Precision      (Unwirksam)</c:v>
                </c:pt>
              </c:strCache>
              <c:extLst xmlns:c15="http://schemas.microsoft.com/office/drawing/2012/chart"/>
            </c:strRef>
          </c:tx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Daten!$A$2:$A$13</c15:sqref>
                  </c15:fullRef>
                </c:ext>
              </c:extLst>
              <c:f>(Daten!$A$2:$A$7,Daten!$A$9:$A$13)</c:f>
              <c:strCache>
                <c:ptCount val="11"/>
                <c:pt idx="0">
                  <c:v>Grok-3</c:v>
                </c:pt>
                <c:pt idx="1">
                  <c:v>GPT5</c:v>
                </c:pt>
                <c:pt idx="2">
                  <c:v>GPT4</c:v>
                </c:pt>
                <c:pt idx="3">
                  <c:v>OSS120B</c:v>
                </c:pt>
                <c:pt idx="4">
                  <c:v>GPT o4-mini</c:v>
                </c:pt>
                <c:pt idx="5">
                  <c:v>DeepseekR1</c:v>
                </c:pt>
                <c:pt idx="6">
                  <c:v>Gemma27B</c:v>
                </c:pt>
                <c:pt idx="7">
                  <c:v>Mistral8B</c:v>
                </c:pt>
                <c:pt idx="8">
                  <c:v>LLama38B</c:v>
                </c:pt>
                <c:pt idx="9">
                  <c:v>Llama3DiscoLeo8B</c:v>
                </c:pt>
                <c:pt idx="10">
                  <c:v>GeminiFlashLite2.5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Daten!$J$2:$J$13</c15:sqref>
                  </c15:fullRef>
                </c:ext>
              </c:extLst>
              <c:f>(Daten!$J$2:$J$7,Daten!$J$9:$J$13)</c:f>
              <c:numCache>
                <c:formatCode>General</c:formatCode>
                <c:ptCount val="11"/>
                <c:pt idx="0">
                  <c:v>0.109</c:v>
                </c:pt>
                <c:pt idx="1">
                  <c:v>0.13200000000000001</c:v>
                </c:pt>
                <c:pt idx="2">
                  <c:v>0.12</c:v>
                </c:pt>
                <c:pt idx="3">
                  <c:v>6.7000000000000004E-2</c:v>
                </c:pt>
                <c:pt idx="4">
                  <c:v>0.16300000000000001</c:v>
                </c:pt>
                <c:pt idx="5">
                  <c:v>8.2000000000000003E-2</c:v>
                </c:pt>
                <c:pt idx="6">
                  <c:v>8.6999999999999994E-2</c:v>
                </c:pt>
                <c:pt idx="7">
                  <c:v>0.1</c:v>
                </c:pt>
                <c:pt idx="8">
                  <c:v>8.8999999999999996E-2</c:v>
                </c:pt>
                <c:pt idx="9">
                  <c:v>0.06</c:v>
                </c:pt>
                <c:pt idx="10">
                  <c:v>0.114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0D-4D8C-B4CA-82EFBE3CF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1157056"/>
        <c:axId val="110115273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Daten!$B$1</c15:sqref>
                        </c15:formulaRef>
                      </c:ext>
                    </c:extLst>
                    <c:strCache>
                      <c:ptCount val="1"/>
                      <c:pt idx="0">
                        <c:v>Gesamtanzahl</c:v>
                      </c:pt>
                    </c:strCache>
                  </c:strRef>
                </c:tx>
                <c:spPr>
                  <a:solidFill>
                    <a:schemeClr val="dk1">
                      <a:tint val="885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Daten!$B$2:$B$13</c15:sqref>
                        </c15:fullRef>
                        <c15:formulaRef>
                          <c15:sqref>(Daten!$B$2:$B$7,Daten!$B$9:$B$13)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3004</c:v>
                      </c:pt>
                      <c:pt idx="1">
                        <c:v>3004</c:v>
                      </c:pt>
                      <c:pt idx="2">
                        <c:v>3004</c:v>
                      </c:pt>
                      <c:pt idx="3">
                        <c:v>3004</c:v>
                      </c:pt>
                      <c:pt idx="4">
                        <c:v>3004</c:v>
                      </c:pt>
                      <c:pt idx="5">
                        <c:v>3004</c:v>
                      </c:pt>
                      <c:pt idx="6">
                        <c:v>3004</c:v>
                      </c:pt>
                      <c:pt idx="7">
                        <c:v>3004</c:v>
                      </c:pt>
                      <c:pt idx="8">
                        <c:v>3004</c:v>
                      </c:pt>
                      <c:pt idx="9">
                        <c:v>3004</c:v>
                      </c:pt>
                      <c:pt idx="10">
                        <c:v>3004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DB0D-4D8C-B4CA-82EFBE3CFE94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Daten!$C$1</c15:sqref>
                        </c15:formulaRef>
                      </c:ext>
                    </c:extLst>
                    <c:strCache>
                      <c:ptCount val="1"/>
                      <c:pt idx="0">
                        <c:v>Anzahl_Klassifikationen</c:v>
                      </c:pt>
                    </c:strCache>
                  </c:strRef>
                </c:tx>
                <c:spPr>
                  <a:solidFill>
                    <a:schemeClr val="dk1">
                      <a:tint val="5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Daten!$C$2:$C$13</c15:sqref>
                        </c15:fullRef>
                        <c15:formulaRef>
                          <c15:sqref>(Daten!$C$2:$C$7,Daten!$C$9:$C$13)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2996</c:v>
                      </c:pt>
                      <c:pt idx="1">
                        <c:v>2990</c:v>
                      </c:pt>
                      <c:pt idx="2">
                        <c:v>2998</c:v>
                      </c:pt>
                      <c:pt idx="3">
                        <c:v>3002</c:v>
                      </c:pt>
                      <c:pt idx="4">
                        <c:v>2996</c:v>
                      </c:pt>
                      <c:pt idx="5">
                        <c:v>2998</c:v>
                      </c:pt>
                      <c:pt idx="6">
                        <c:v>2989</c:v>
                      </c:pt>
                      <c:pt idx="7">
                        <c:v>2996</c:v>
                      </c:pt>
                      <c:pt idx="8">
                        <c:v>3002</c:v>
                      </c:pt>
                      <c:pt idx="9">
                        <c:v>2995</c:v>
                      </c:pt>
                      <c:pt idx="10">
                        <c:v>3000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B0D-4D8C-B4CA-82EFBE3CFE9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Daten!$D$1</c15:sqref>
                        </c15:formulaRef>
                      </c:ext>
                    </c:extLst>
                    <c:strCache>
                      <c:ptCount val="1"/>
                      <c:pt idx="0">
                        <c:v>Fehlende ('-'/NaN/leer)</c:v>
                      </c:pt>
                    </c:strCache>
                  </c:strRef>
                </c:tx>
                <c:spPr>
                  <a:solidFill>
                    <a:schemeClr val="dk1">
                      <a:tint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Daten!$D$2:$D$13</c15:sqref>
                        </c15:fullRef>
                        <c15:formulaRef>
                          <c15:sqref>(Daten!$D$2:$D$7,Daten!$D$9:$D$13)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8</c:v>
                      </c:pt>
                      <c:pt idx="1">
                        <c:v>14</c:v>
                      </c:pt>
                      <c:pt idx="2">
                        <c:v>6</c:v>
                      </c:pt>
                      <c:pt idx="3">
                        <c:v>2</c:v>
                      </c:pt>
                      <c:pt idx="4">
                        <c:v>8</c:v>
                      </c:pt>
                      <c:pt idx="5">
                        <c:v>6</c:v>
                      </c:pt>
                      <c:pt idx="6">
                        <c:v>15</c:v>
                      </c:pt>
                      <c:pt idx="7">
                        <c:v>8</c:v>
                      </c:pt>
                      <c:pt idx="8">
                        <c:v>2</c:v>
                      </c:pt>
                      <c:pt idx="9">
                        <c:v>9</c:v>
                      </c:pt>
                      <c:pt idx="10">
                        <c:v>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B0D-4D8C-B4CA-82EFBE3CFE94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Daten!$E$1</c15:sqref>
                        </c15:formulaRef>
                      </c:ext>
                    </c:extLst>
                    <c:strCache>
                      <c:ptCount val="1"/>
                      <c:pt idx="0">
                        <c:v>Accuracy (bereinigt)</c:v>
                      </c:pt>
                    </c:strCache>
                  </c:strRef>
                </c:tx>
                <c:spPr>
                  <a:solidFill>
                    <a:schemeClr val="dk1">
                      <a:tint val="985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Daten!$E$2:$E$13</c15:sqref>
                        </c15:fullRef>
                        <c15:formulaRef>
                          <c15:sqref>(Daten!$E$2:$E$7,Daten!$E$9:$E$13)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0.74299999999999999</c:v>
                      </c:pt>
                      <c:pt idx="1">
                        <c:v>0.79300000000000004</c:v>
                      </c:pt>
                      <c:pt idx="2">
                        <c:v>0.80200000000000005</c:v>
                      </c:pt>
                      <c:pt idx="3">
                        <c:v>0.72799999999999998</c:v>
                      </c:pt>
                      <c:pt idx="4">
                        <c:v>0.88600000000000001</c:v>
                      </c:pt>
                      <c:pt idx="5">
                        <c:v>0.70199999999999996</c:v>
                      </c:pt>
                      <c:pt idx="6">
                        <c:v>0.69299999999999995</c:v>
                      </c:pt>
                      <c:pt idx="7">
                        <c:v>0.78</c:v>
                      </c:pt>
                      <c:pt idx="8">
                        <c:v>0.71899999999999997</c:v>
                      </c:pt>
                      <c:pt idx="9">
                        <c:v>0.32900000000000001</c:v>
                      </c:pt>
                      <c:pt idx="10">
                        <c:v>0.84899999999999998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B0D-4D8C-B4CA-82EFBE3CFE94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Daten!$F$1</c15:sqref>
                        </c15:formulaRef>
                      </c:ext>
                    </c:extLst>
                    <c:strCache>
                      <c:ptCount val="1"/>
                      <c:pt idx="0">
                        <c:v>TP</c:v>
                      </c:pt>
                    </c:strCache>
                  </c:strRef>
                </c:tx>
                <c:spPr>
                  <a:solidFill>
                    <a:schemeClr val="dk1">
                      <a:tint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Daten!$F$2:$F$13</c15:sqref>
                        </c15:fullRef>
                        <c15:formulaRef>
                          <c15:sqref>(Daten!$F$2:$F$7,Daten!$F$9:$F$13)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88</c:v>
                      </c:pt>
                      <c:pt idx="1">
                        <c:v>87</c:v>
                      </c:pt>
                      <c:pt idx="2">
                        <c:v>72</c:v>
                      </c:pt>
                      <c:pt idx="3">
                        <c:v>53</c:v>
                      </c:pt>
                      <c:pt idx="4">
                        <c:v>50</c:v>
                      </c:pt>
                      <c:pt idx="5">
                        <c:v>74</c:v>
                      </c:pt>
                      <c:pt idx="6">
                        <c:v>82</c:v>
                      </c:pt>
                      <c:pt idx="7">
                        <c:v>65</c:v>
                      </c:pt>
                      <c:pt idx="8">
                        <c:v>77</c:v>
                      </c:pt>
                      <c:pt idx="9">
                        <c:v>128</c:v>
                      </c:pt>
                      <c:pt idx="10">
                        <c:v>47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B0D-4D8C-B4CA-82EFBE3CFE94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Daten!$G$1</c15:sqref>
                        </c15:formulaRef>
                      </c:ext>
                    </c:extLst>
                    <c:strCache>
                      <c:ptCount val="1"/>
                      <c:pt idx="0">
                        <c:v>FP</c:v>
                      </c:pt>
                    </c:strCache>
                  </c:strRef>
                </c:tx>
                <c:spPr>
                  <a:solidFill>
                    <a:schemeClr val="dk1">
                      <a:tint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Daten!$G$2:$G$13</c15:sqref>
                        </c15:fullRef>
                        <c15:formulaRef>
                          <c15:sqref>(Daten!$G$2:$G$7,Daten!$G$9:$G$13)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721</c:v>
                      </c:pt>
                      <c:pt idx="1">
                        <c:v>570</c:v>
                      </c:pt>
                      <c:pt idx="2">
                        <c:v>530</c:v>
                      </c:pt>
                      <c:pt idx="3">
                        <c:v>734</c:v>
                      </c:pt>
                      <c:pt idx="4">
                        <c:v>256</c:v>
                      </c:pt>
                      <c:pt idx="5">
                        <c:v>830</c:v>
                      </c:pt>
                      <c:pt idx="6">
                        <c:v>864</c:v>
                      </c:pt>
                      <c:pt idx="7">
                        <c:v>588</c:v>
                      </c:pt>
                      <c:pt idx="8">
                        <c:v>785</c:v>
                      </c:pt>
                      <c:pt idx="9">
                        <c:v>2002</c:v>
                      </c:pt>
                      <c:pt idx="10">
                        <c:v>364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B0D-4D8C-B4CA-82EFBE3CFE94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Daten!$H$1</c15:sqref>
                        </c15:formulaRef>
                      </c:ext>
                    </c:extLst>
                    <c:strCache>
                      <c:ptCount val="1"/>
                      <c:pt idx="0">
                        <c:v>FN</c:v>
                      </c:pt>
                    </c:strCache>
                  </c:strRef>
                </c:tx>
                <c:spPr>
                  <a:solidFill>
                    <a:schemeClr val="dk1">
                      <a:tint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Daten!$H$2:$H$13</c15:sqref>
                        </c15:fullRef>
                        <c15:formulaRef>
                          <c15:sqref>(Daten!$H$2:$H$7,Daten!$H$9:$H$13)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49</c:v>
                      </c:pt>
                      <c:pt idx="1">
                        <c:v>50</c:v>
                      </c:pt>
                      <c:pt idx="2">
                        <c:v>65</c:v>
                      </c:pt>
                      <c:pt idx="3">
                        <c:v>83</c:v>
                      </c:pt>
                      <c:pt idx="4">
                        <c:v>86</c:v>
                      </c:pt>
                      <c:pt idx="5">
                        <c:v>63</c:v>
                      </c:pt>
                      <c:pt idx="6">
                        <c:v>54</c:v>
                      </c:pt>
                      <c:pt idx="7">
                        <c:v>71</c:v>
                      </c:pt>
                      <c:pt idx="8">
                        <c:v>60</c:v>
                      </c:pt>
                      <c:pt idx="9">
                        <c:v>8</c:v>
                      </c:pt>
                      <c:pt idx="10">
                        <c:v>90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B0D-4D8C-B4CA-82EFBE3CFE94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Daten!$I$1</c15:sqref>
                        </c15:formulaRef>
                      </c:ext>
                    </c:extLst>
                    <c:strCache>
                      <c:ptCount val="1"/>
                      <c:pt idx="0">
                        <c:v>TN</c:v>
                      </c:pt>
                    </c:strCache>
                  </c:strRef>
                </c:tx>
                <c:spPr>
                  <a:solidFill>
                    <a:schemeClr val="dk1">
                      <a:tint val="885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Daten!$I$2:$I$13</c15:sqref>
                        </c15:fullRef>
                        <c15:formulaRef>
                          <c15:sqref>(Daten!$I$2:$I$7,Daten!$I$9:$I$13)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2138</c:v>
                      </c:pt>
                      <c:pt idx="1">
                        <c:v>2283</c:v>
                      </c:pt>
                      <c:pt idx="2">
                        <c:v>2331</c:v>
                      </c:pt>
                      <c:pt idx="3">
                        <c:v>2132</c:v>
                      </c:pt>
                      <c:pt idx="4">
                        <c:v>2604</c:v>
                      </c:pt>
                      <c:pt idx="5">
                        <c:v>2031</c:v>
                      </c:pt>
                      <c:pt idx="6">
                        <c:v>1989</c:v>
                      </c:pt>
                      <c:pt idx="7">
                        <c:v>2272</c:v>
                      </c:pt>
                      <c:pt idx="8">
                        <c:v>2080</c:v>
                      </c:pt>
                      <c:pt idx="9">
                        <c:v>857</c:v>
                      </c:pt>
                      <c:pt idx="10">
                        <c:v>2499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B0D-4D8C-B4CA-82EFBE3CFE94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Daten!$K$1</c15:sqref>
                        </c15:formulaRef>
                      </c:ext>
                    </c:extLst>
                    <c:strCache>
                      <c:ptCount val="1"/>
                      <c:pt idx="0">
                        <c:v>Recall      (Unwirksam)</c:v>
                      </c:pt>
                    </c:strCache>
                  </c:strRef>
                </c:tx>
                <c:spPr>
                  <a:solidFill>
                    <a:schemeClr val="dk1">
                      <a:tint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Daten!$K$2:$K$13</c15:sqref>
                        </c15:fullRef>
                        <c15:formulaRef>
                          <c15:sqref>(Daten!$K$2:$K$7,Daten!$K$9:$K$13)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0.64200000000000002</c:v>
                      </c:pt>
                      <c:pt idx="1">
                        <c:v>0.63500000000000001</c:v>
                      </c:pt>
                      <c:pt idx="2">
                        <c:v>0.52600000000000002</c:v>
                      </c:pt>
                      <c:pt idx="3">
                        <c:v>0.39</c:v>
                      </c:pt>
                      <c:pt idx="4">
                        <c:v>0.36799999999999999</c:v>
                      </c:pt>
                      <c:pt idx="5">
                        <c:v>0.54</c:v>
                      </c:pt>
                      <c:pt idx="6">
                        <c:v>0.60299999999999998</c:v>
                      </c:pt>
                      <c:pt idx="7">
                        <c:v>0.47799999999999998</c:v>
                      </c:pt>
                      <c:pt idx="8">
                        <c:v>0.56200000000000006</c:v>
                      </c:pt>
                      <c:pt idx="9">
                        <c:v>0.94099999999999995</c:v>
                      </c:pt>
                      <c:pt idx="10">
                        <c:v>0.34300000000000003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B0D-4D8C-B4CA-82EFBE3CFE94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Daten!$L$1</c15:sqref>
                        </c15:formulaRef>
                      </c:ext>
                    </c:extLst>
                    <c:strCache>
                      <c:ptCount val="1"/>
                      <c:pt idx="0">
                        <c:v>F1      (Unwirksam)</c:v>
                      </c:pt>
                    </c:strCache>
                  </c:strRef>
                </c:tx>
                <c:spPr>
                  <a:solidFill>
                    <a:schemeClr val="dk1">
                      <a:tint val="985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Daten!$L$2:$L$13</c15:sqref>
                        </c15:fullRef>
                        <c15:formulaRef>
                          <c15:sqref>(Daten!$L$2:$L$7,Daten!$L$9:$L$13)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0.186</c:v>
                      </c:pt>
                      <c:pt idx="1">
                        <c:v>0.219</c:v>
                      </c:pt>
                      <c:pt idx="2">
                        <c:v>0.19500000000000001</c:v>
                      </c:pt>
                      <c:pt idx="3">
                        <c:v>0.115</c:v>
                      </c:pt>
                      <c:pt idx="4">
                        <c:v>0.22600000000000001</c:v>
                      </c:pt>
                      <c:pt idx="5">
                        <c:v>0.14199999999999999</c:v>
                      </c:pt>
                      <c:pt idx="6">
                        <c:v>0.152</c:v>
                      </c:pt>
                      <c:pt idx="7">
                        <c:v>0.16500000000000001</c:v>
                      </c:pt>
                      <c:pt idx="8">
                        <c:v>0.154</c:v>
                      </c:pt>
                      <c:pt idx="9">
                        <c:v>0.113</c:v>
                      </c:pt>
                      <c:pt idx="10">
                        <c:v>0.17199999999999999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B0D-4D8C-B4CA-82EFBE3CFE94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Daten!$M$1</c15:sqref>
                        </c15:formulaRef>
                      </c:ext>
                    </c:extLst>
                    <c:strCache>
                      <c:ptCount val="1"/>
                      <c:pt idx="0">
                        <c:v>Precision      (Wirksam)</c:v>
                      </c:pt>
                    </c:strCache>
                  </c:strRef>
                </c:tx>
                <c:spPr>
                  <a:solidFill>
                    <a:schemeClr val="dk1">
                      <a:tint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Daten!$M$2:$M$13</c15:sqref>
                        </c15:fullRef>
                        <c15:formulaRef>
                          <c15:sqref>(Daten!$M$2:$M$7,Daten!$M$9:$M$13)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0.97799999999999998</c:v>
                      </c:pt>
                      <c:pt idx="1">
                        <c:v>0.97899999999999998</c:v>
                      </c:pt>
                      <c:pt idx="2">
                        <c:v>0.97299999999999998</c:v>
                      </c:pt>
                      <c:pt idx="3">
                        <c:v>0.96299999999999997</c:v>
                      </c:pt>
                      <c:pt idx="4">
                        <c:v>0.96799999999999997</c:v>
                      </c:pt>
                      <c:pt idx="5">
                        <c:v>0.97</c:v>
                      </c:pt>
                      <c:pt idx="6">
                        <c:v>0.97399999999999998</c:v>
                      </c:pt>
                      <c:pt idx="7">
                        <c:v>0.97</c:v>
                      </c:pt>
                      <c:pt idx="8">
                        <c:v>0.97199999999999998</c:v>
                      </c:pt>
                      <c:pt idx="9">
                        <c:v>0.99099999999999999</c:v>
                      </c:pt>
                      <c:pt idx="10">
                        <c:v>0.96499999999999997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B0D-4D8C-B4CA-82EFBE3CFE94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Daten!$N$1</c15:sqref>
                        </c15:formulaRef>
                      </c:ext>
                    </c:extLst>
                    <c:strCache>
                      <c:ptCount val="1"/>
                      <c:pt idx="0">
                        <c:v>Recall (Wirksam)</c:v>
                      </c:pt>
                    </c:strCache>
                  </c:strRef>
                </c:tx>
                <c:spPr>
                  <a:solidFill>
                    <a:schemeClr val="dk1">
                      <a:tint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Daten!$N$2:$N$13</c15:sqref>
                        </c15:fullRef>
                        <c15:formulaRef>
                          <c15:sqref>(Daten!$N$2:$N$7,Daten!$N$9:$N$13)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0.748</c:v>
                      </c:pt>
                      <c:pt idx="1">
                        <c:v>0.8</c:v>
                      </c:pt>
                      <c:pt idx="2">
                        <c:v>0.81499999999999995</c:v>
                      </c:pt>
                      <c:pt idx="3">
                        <c:v>0.74399999999999999</c:v>
                      </c:pt>
                      <c:pt idx="4">
                        <c:v>0.91</c:v>
                      </c:pt>
                      <c:pt idx="5">
                        <c:v>0.71</c:v>
                      </c:pt>
                      <c:pt idx="6">
                        <c:v>0.69699999999999995</c:v>
                      </c:pt>
                      <c:pt idx="7">
                        <c:v>0.79400000000000004</c:v>
                      </c:pt>
                      <c:pt idx="8">
                        <c:v>0.72599999999999998</c:v>
                      </c:pt>
                      <c:pt idx="9">
                        <c:v>0.3</c:v>
                      </c:pt>
                      <c:pt idx="10">
                        <c:v>0.873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DB0D-4D8C-B4CA-82EFBE3CFE94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Daten!$O$1</c15:sqref>
                        </c15:formulaRef>
                      </c:ext>
                    </c:extLst>
                    <c:strCache>
                      <c:ptCount val="1"/>
                      <c:pt idx="0">
                        <c:v>F1                           (Wirksam)</c:v>
                      </c:pt>
                    </c:strCache>
                  </c:strRef>
                </c:tx>
                <c:spPr>
                  <a:solidFill>
                    <a:schemeClr val="dk1">
                      <a:tint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Daten!$O$2:$O$13</c15:sqref>
                        </c15:fullRef>
                        <c15:formulaRef>
                          <c15:sqref>(Daten!$O$2:$O$7,Daten!$O$9:$O$13)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0.84699999999999998</c:v>
                      </c:pt>
                      <c:pt idx="1">
                        <c:v>0.88</c:v>
                      </c:pt>
                      <c:pt idx="2">
                        <c:v>0.88700000000000001</c:v>
                      </c:pt>
                      <c:pt idx="3">
                        <c:v>0.83899999999999997</c:v>
                      </c:pt>
                      <c:pt idx="4">
                        <c:v>0.93799999999999994</c:v>
                      </c:pt>
                      <c:pt idx="5">
                        <c:v>0.82</c:v>
                      </c:pt>
                      <c:pt idx="6">
                        <c:v>0.81200000000000006</c:v>
                      </c:pt>
                      <c:pt idx="7">
                        <c:v>0.873</c:v>
                      </c:pt>
                      <c:pt idx="8">
                        <c:v>0.83099999999999996</c:v>
                      </c:pt>
                      <c:pt idx="9">
                        <c:v>0.46</c:v>
                      </c:pt>
                      <c:pt idx="10">
                        <c:v>0.91700000000000004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DB0D-4D8C-B4CA-82EFBE3CFE94}"/>
                  </c:ext>
                </c:extLst>
              </c15:ser>
            </c15:filteredBarSeries>
            <c15:filteredB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Daten!$P$1</c15:sqref>
                        </c15:formulaRef>
                      </c:ext>
                    </c:extLst>
                    <c:strCache>
                      <c:ptCount val="1"/>
                      <c:pt idx="0">
                        <c:v>F1           (macro)</c:v>
                      </c:pt>
                    </c:strCache>
                  </c:strRef>
                </c:tx>
                <c:spPr>
                  <a:solidFill>
                    <a:schemeClr val="dk1">
                      <a:tint val="885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Daten!$P$2:$P$13</c15:sqref>
                        </c15:fullRef>
                        <c15:formulaRef>
                          <c15:sqref>(Daten!$P$2:$P$7,Daten!$P$9:$P$13)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0.51700000000000002</c:v>
                      </c:pt>
                      <c:pt idx="1">
                        <c:v>0.55000000000000004</c:v>
                      </c:pt>
                      <c:pt idx="2">
                        <c:v>0.54100000000000004</c:v>
                      </c:pt>
                      <c:pt idx="3">
                        <c:v>0.47699999999999998</c:v>
                      </c:pt>
                      <c:pt idx="4">
                        <c:v>0.58199999999999996</c:v>
                      </c:pt>
                      <c:pt idx="5">
                        <c:v>0.48099999999999998</c:v>
                      </c:pt>
                      <c:pt idx="6">
                        <c:v>0.48199999999999998</c:v>
                      </c:pt>
                      <c:pt idx="7">
                        <c:v>0.51900000000000002</c:v>
                      </c:pt>
                      <c:pt idx="8">
                        <c:v>0.49299999999999999</c:v>
                      </c:pt>
                      <c:pt idx="9">
                        <c:v>0.28699999999999998</c:v>
                      </c:pt>
                      <c:pt idx="10">
                        <c:v>0.54400000000000004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DB0D-4D8C-B4CA-82EFBE3CFE94}"/>
                  </c:ext>
                </c:extLst>
              </c15:ser>
            </c15:filteredBarSeries>
            <c15:filteredBa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Daten!$Q$1</c15:sqref>
                        </c15:formulaRef>
                      </c:ext>
                    </c:extLst>
                    <c:strCache>
                      <c:ptCount val="1"/>
                      <c:pt idx="0">
                        <c:v>F1                 (weighted)</c:v>
                      </c:pt>
                    </c:strCache>
                  </c:strRef>
                </c:tx>
                <c:spPr>
                  <a:solidFill>
                    <a:schemeClr val="dk1">
                      <a:tint val="5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Daten!$Q$2:$Q$13</c15:sqref>
                        </c15:fullRef>
                        <c15:formulaRef>
                          <c15:sqref>(Daten!$Q$2:$Q$7,Daten!$Q$9:$Q$13)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0.81699999999999995</c:v>
                      </c:pt>
                      <c:pt idx="1">
                        <c:v>0.85</c:v>
                      </c:pt>
                      <c:pt idx="2">
                        <c:v>0.85499999999999998</c:v>
                      </c:pt>
                      <c:pt idx="3">
                        <c:v>0.80600000000000005</c:v>
                      </c:pt>
                      <c:pt idx="4">
                        <c:v>0.90600000000000003</c:v>
                      </c:pt>
                      <c:pt idx="5">
                        <c:v>0.78900000000000003</c:v>
                      </c:pt>
                      <c:pt idx="6">
                        <c:v>0.78200000000000003</c:v>
                      </c:pt>
                      <c:pt idx="7">
                        <c:v>0.84099999999999997</c:v>
                      </c:pt>
                      <c:pt idx="8">
                        <c:v>0.8</c:v>
                      </c:pt>
                      <c:pt idx="9">
                        <c:v>0.44400000000000001</c:v>
                      </c:pt>
                      <c:pt idx="10">
                        <c:v>0.88300000000000001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DB0D-4D8C-B4CA-82EFBE3CFE94}"/>
                  </c:ext>
                </c:extLst>
              </c15:ser>
            </c15:filteredBarSeries>
          </c:ext>
        </c:extLst>
      </c:barChart>
      <c:catAx>
        <c:axId val="110115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01152736"/>
        <c:crosses val="autoZero"/>
        <c:auto val="1"/>
        <c:lblAlgn val="ctr"/>
        <c:lblOffset val="100"/>
        <c:noMultiLvlLbl val="0"/>
      </c:catAx>
      <c:valAx>
        <c:axId val="110115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01157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Recall unwirksam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9"/>
          <c:order val="9"/>
          <c:tx>
            <c:strRef>
              <c:f>Daten!$K$1</c:f>
              <c:strCache>
                <c:ptCount val="1"/>
                <c:pt idx="0">
                  <c:v>Recall      (Unwirksam)</c:v>
                </c:pt>
              </c:strCache>
              <c:extLst xmlns:c15="http://schemas.microsoft.com/office/drawing/2012/chart"/>
            </c:strRef>
          </c:tx>
          <c:spPr>
            <a:solidFill>
              <a:schemeClr val="dk1">
                <a:tint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Daten!$A$2:$A$13</c15:sqref>
                  </c15:fullRef>
                </c:ext>
              </c:extLst>
              <c:f>(Daten!$A$2:$A$7,Daten!$A$9:$A$13)</c:f>
              <c:strCache>
                <c:ptCount val="11"/>
                <c:pt idx="0">
                  <c:v>Grok-3</c:v>
                </c:pt>
                <c:pt idx="1">
                  <c:v>GPT5</c:v>
                </c:pt>
                <c:pt idx="2">
                  <c:v>GPT4</c:v>
                </c:pt>
                <c:pt idx="3">
                  <c:v>OSS120B</c:v>
                </c:pt>
                <c:pt idx="4">
                  <c:v>GPT o4-mini</c:v>
                </c:pt>
                <c:pt idx="5">
                  <c:v>DeepseekR1</c:v>
                </c:pt>
                <c:pt idx="6">
                  <c:v>Gemma27B</c:v>
                </c:pt>
                <c:pt idx="7">
                  <c:v>Mistral8B</c:v>
                </c:pt>
                <c:pt idx="8">
                  <c:v>LLama38B</c:v>
                </c:pt>
                <c:pt idx="9">
                  <c:v>Llama3DiscoLeo8B</c:v>
                </c:pt>
                <c:pt idx="10">
                  <c:v>GeminiFlashLite2.5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Daten!$K$2:$K$13</c15:sqref>
                  </c15:fullRef>
                </c:ext>
              </c:extLst>
              <c:f>(Daten!$K$2:$K$7,Daten!$K$9:$K$13)</c:f>
              <c:numCache>
                <c:formatCode>General</c:formatCode>
                <c:ptCount val="11"/>
                <c:pt idx="0">
                  <c:v>0.64200000000000002</c:v>
                </c:pt>
                <c:pt idx="1">
                  <c:v>0.63500000000000001</c:v>
                </c:pt>
                <c:pt idx="2">
                  <c:v>0.52600000000000002</c:v>
                </c:pt>
                <c:pt idx="3">
                  <c:v>0.39</c:v>
                </c:pt>
                <c:pt idx="4">
                  <c:v>0.36799999999999999</c:v>
                </c:pt>
                <c:pt idx="5">
                  <c:v>0.54</c:v>
                </c:pt>
                <c:pt idx="6">
                  <c:v>0.60299999999999998</c:v>
                </c:pt>
                <c:pt idx="7">
                  <c:v>0.47799999999999998</c:v>
                </c:pt>
                <c:pt idx="8">
                  <c:v>0.56200000000000006</c:v>
                </c:pt>
                <c:pt idx="9">
                  <c:v>0.94099999999999995</c:v>
                </c:pt>
                <c:pt idx="10">
                  <c:v>0.34300000000000003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84-45EE-A891-E0272A2D0C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1157056"/>
        <c:axId val="110115273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Daten!$B$1</c15:sqref>
                        </c15:formulaRef>
                      </c:ext>
                    </c:extLst>
                    <c:strCache>
                      <c:ptCount val="1"/>
                      <c:pt idx="0">
                        <c:v>Gesamtanzahl</c:v>
                      </c:pt>
                    </c:strCache>
                  </c:strRef>
                </c:tx>
                <c:spPr>
                  <a:solidFill>
                    <a:schemeClr val="dk1">
                      <a:tint val="885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Daten!$B$2:$B$13</c15:sqref>
                        </c15:fullRef>
                        <c15:formulaRef>
                          <c15:sqref>(Daten!$B$2:$B$7,Daten!$B$9:$B$13)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3004</c:v>
                      </c:pt>
                      <c:pt idx="1">
                        <c:v>3004</c:v>
                      </c:pt>
                      <c:pt idx="2">
                        <c:v>3004</c:v>
                      </c:pt>
                      <c:pt idx="3">
                        <c:v>3004</c:v>
                      </c:pt>
                      <c:pt idx="4">
                        <c:v>3004</c:v>
                      </c:pt>
                      <c:pt idx="5">
                        <c:v>3004</c:v>
                      </c:pt>
                      <c:pt idx="6">
                        <c:v>3004</c:v>
                      </c:pt>
                      <c:pt idx="7">
                        <c:v>3004</c:v>
                      </c:pt>
                      <c:pt idx="8">
                        <c:v>3004</c:v>
                      </c:pt>
                      <c:pt idx="9">
                        <c:v>3004</c:v>
                      </c:pt>
                      <c:pt idx="10">
                        <c:v>3004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F184-45EE-A891-E0272A2D0CB7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Daten!$C$1</c15:sqref>
                        </c15:formulaRef>
                      </c:ext>
                    </c:extLst>
                    <c:strCache>
                      <c:ptCount val="1"/>
                      <c:pt idx="0">
                        <c:v>Anzahl_Klassifikationen</c:v>
                      </c:pt>
                    </c:strCache>
                  </c:strRef>
                </c:tx>
                <c:spPr>
                  <a:solidFill>
                    <a:schemeClr val="dk1">
                      <a:tint val="5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Daten!$C$2:$C$13</c15:sqref>
                        </c15:fullRef>
                        <c15:formulaRef>
                          <c15:sqref>(Daten!$C$2:$C$7,Daten!$C$9:$C$13)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2996</c:v>
                      </c:pt>
                      <c:pt idx="1">
                        <c:v>2990</c:v>
                      </c:pt>
                      <c:pt idx="2">
                        <c:v>2998</c:v>
                      </c:pt>
                      <c:pt idx="3">
                        <c:v>3002</c:v>
                      </c:pt>
                      <c:pt idx="4">
                        <c:v>2996</c:v>
                      </c:pt>
                      <c:pt idx="5">
                        <c:v>2998</c:v>
                      </c:pt>
                      <c:pt idx="6">
                        <c:v>2989</c:v>
                      </c:pt>
                      <c:pt idx="7">
                        <c:v>2996</c:v>
                      </c:pt>
                      <c:pt idx="8">
                        <c:v>3002</c:v>
                      </c:pt>
                      <c:pt idx="9">
                        <c:v>2995</c:v>
                      </c:pt>
                      <c:pt idx="10">
                        <c:v>3000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184-45EE-A891-E0272A2D0CB7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Daten!$D$1</c15:sqref>
                        </c15:formulaRef>
                      </c:ext>
                    </c:extLst>
                    <c:strCache>
                      <c:ptCount val="1"/>
                      <c:pt idx="0">
                        <c:v>Fehlende ('-'/NaN/leer)</c:v>
                      </c:pt>
                    </c:strCache>
                  </c:strRef>
                </c:tx>
                <c:spPr>
                  <a:solidFill>
                    <a:schemeClr val="dk1">
                      <a:tint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Daten!$D$2:$D$13</c15:sqref>
                        </c15:fullRef>
                        <c15:formulaRef>
                          <c15:sqref>(Daten!$D$2:$D$7,Daten!$D$9:$D$13)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8</c:v>
                      </c:pt>
                      <c:pt idx="1">
                        <c:v>14</c:v>
                      </c:pt>
                      <c:pt idx="2">
                        <c:v>6</c:v>
                      </c:pt>
                      <c:pt idx="3">
                        <c:v>2</c:v>
                      </c:pt>
                      <c:pt idx="4">
                        <c:v>8</c:v>
                      </c:pt>
                      <c:pt idx="5">
                        <c:v>6</c:v>
                      </c:pt>
                      <c:pt idx="6">
                        <c:v>15</c:v>
                      </c:pt>
                      <c:pt idx="7">
                        <c:v>8</c:v>
                      </c:pt>
                      <c:pt idx="8">
                        <c:v>2</c:v>
                      </c:pt>
                      <c:pt idx="9">
                        <c:v>9</c:v>
                      </c:pt>
                      <c:pt idx="10">
                        <c:v>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184-45EE-A891-E0272A2D0CB7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Daten!$E$1</c15:sqref>
                        </c15:formulaRef>
                      </c:ext>
                    </c:extLst>
                    <c:strCache>
                      <c:ptCount val="1"/>
                      <c:pt idx="0">
                        <c:v>Accuracy (bereinigt)</c:v>
                      </c:pt>
                    </c:strCache>
                  </c:strRef>
                </c:tx>
                <c:spPr>
                  <a:solidFill>
                    <a:schemeClr val="dk1">
                      <a:tint val="985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Daten!$E$2:$E$13</c15:sqref>
                        </c15:fullRef>
                        <c15:formulaRef>
                          <c15:sqref>(Daten!$E$2:$E$7,Daten!$E$9:$E$13)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0.74299999999999999</c:v>
                      </c:pt>
                      <c:pt idx="1">
                        <c:v>0.79300000000000004</c:v>
                      </c:pt>
                      <c:pt idx="2">
                        <c:v>0.80200000000000005</c:v>
                      </c:pt>
                      <c:pt idx="3">
                        <c:v>0.72799999999999998</c:v>
                      </c:pt>
                      <c:pt idx="4">
                        <c:v>0.88600000000000001</c:v>
                      </c:pt>
                      <c:pt idx="5">
                        <c:v>0.70199999999999996</c:v>
                      </c:pt>
                      <c:pt idx="6">
                        <c:v>0.69299999999999995</c:v>
                      </c:pt>
                      <c:pt idx="7">
                        <c:v>0.78</c:v>
                      </c:pt>
                      <c:pt idx="8">
                        <c:v>0.71899999999999997</c:v>
                      </c:pt>
                      <c:pt idx="9">
                        <c:v>0.32900000000000001</c:v>
                      </c:pt>
                      <c:pt idx="10">
                        <c:v>0.84899999999999998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184-45EE-A891-E0272A2D0CB7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Daten!$F$1</c15:sqref>
                        </c15:formulaRef>
                      </c:ext>
                    </c:extLst>
                    <c:strCache>
                      <c:ptCount val="1"/>
                      <c:pt idx="0">
                        <c:v>TP</c:v>
                      </c:pt>
                    </c:strCache>
                  </c:strRef>
                </c:tx>
                <c:spPr>
                  <a:solidFill>
                    <a:schemeClr val="dk1">
                      <a:tint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Daten!$F$2:$F$13</c15:sqref>
                        </c15:fullRef>
                        <c15:formulaRef>
                          <c15:sqref>(Daten!$F$2:$F$7,Daten!$F$9:$F$13)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88</c:v>
                      </c:pt>
                      <c:pt idx="1">
                        <c:v>87</c:v>
                      </c:pt>
                      <c:pt idx="2">
                        <c:v>72</c:v>
                      </c:pt>
                      <c:pt idx="3">
                        <c:v>53</c:v>
                      </c:pt>
                      <c:pt idx="4">
                        <c:v>50</c:v>
                      </c:pt>
                      <c:pt idx="5">
                        <c:v>74</c:v>
                      </c:pt>
                      <c:pt idx="6">
                        <c:v>82</c:v>
                      </c:pt>
                      <c:pt idx="7">
                        <c:v>65</c:v>
                      </c:pt>
                      <c:pt idx="8">
                        <c:v>77</c:v>
                      </c:pt>
                      <c:pt idx="9">
                        <c:v>128</c:v>
                      </c:pt>
                      <c:pt idx="10">
                        <c:v>47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184-45EE-A891-E0272A2D0CB7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Daten!$G$1</c15:sqref>
                        </c15:formulaRef>
                      </c:ext>
                    </c:extLst>
                    <c:strCache>
                      <c:ptCount val="1"/>
                      <c:pt idx="0">
                        <c:v>FP</c:v>
                      </c:pt>
                    </c:strCache>
                  </c:strRef>
                </c:tx>
                <c:spPr>
                  <a:solidFill>
                    <a:schemeClr val="dk1">
                      <a:tint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Daten!$G$2:$G$13</c15:sqref>
                        </c15:fullRef>
                        <c15:formulaRef>
                          <c15:sqref>(Daten!$G$2:$G$7,Daten!$G$9:$G$13)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721</c:v>
                      </c:pt>
                      <c:pt idx="1">
                        <c:v>570</c:v>
                      </c:pt>
                      <c:pt idx="2">
                        <c:v>530</c:v>
                      </c:pt>
                      <c:pt idx="3">
                        <c:v>734</c:v>
                      </c:pt>
                      <c:pt idx="4">
                        <c:v>256</c:v>
                      </c:pt>
                      <c:pt idx="5">
                        <c:v>830</c:v>
                      </c:pt>
                      <c:pt idx="6">
                        <c:v>864</c:v>
                      </c:pt>
                      <c:pt idx="7">
                        <c:v>588</c:v>
                      </c:pt>
                      <c:pt idx="8">
                        <c:v>785</c:v>
                      </c:pt>
                      <c:pt idx="9">
                        <c:v>2002</c:v>
                      </c:pt>
                      <c:pt idx="10">
                        <c:v>364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F184-45EE-A891-E0272A2D0CB7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Daten!$H$1</c15:sqref>
                        </c15:formulaRef>
                      </c:ext>
                    </c:extLst>
                    <c:strCache>
                      <c:ptCount val="1"/>
                      <c:pt idx="0">
                        <c:v>FN</c:v>
                      </c:pt>
                    </c:strCache>
                  </c:strRef>
                </c:tx>
                <c:spPr>
                  <a:solidFill>
                    <a:schemeClr val="dk1">
                      <a:tint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Daten!$H$2:$H$13</c15:sqref>
                        </c15:fullRef>
                        <c15:formulaRef>
                          <c15:sqref>(Daten!$H$2:$H$7,Daten!$H$9:$H$13)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49</c:v>
                      </c:pt>
                      <c:pt idx="1">
                        <c:v>50</c:v>
                      </c:pt>
                      <c:pt idx="2">
                        <c:v>65</c:v>
                      </c:pt>
                      <c:pt idx="3">
                        <c:v>83</c:v>
                      </c:pt>
                      <c:pt idx="4">
                        <c:v>86</c:v>
                      </c:pt>
                      <c:pt idx="5">
                        <c:v>63</c:v>
                      </c:pt>
                      <c:pt idx="6">
                        <c:v>54</c:v>
                      </c:pt>
                      <c:pt idx="7">
                        <c:v>71</c:v>
                      </c:pt>
                      <c:pt idx="8">
                        <c:v>60</c:v>
                      </c:pt>
                      <c:pt idx="9">
                        <c:v>8</c:v>
                      </c:pt>
                      <c:pt idx="10">
                        <c:v>90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184-45EE-A891-E0272A2D0CB7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Daten!$I$1</c15:sqref>
                        </c15:formulaRef>
                      </c:ext>
                    </c:extLst>
                    <c:strCache>
                      <c:ptCount val="1"/>
                      <c:pt idx="0">
                        <c:v>TN</c:v>
                      </c:pt>
                    </c:strCache>
                  </c:strRef>
                </c:tx>
                <c:spPr>
                  <a:solidFill>
                    <a:schemeClr val="dk1">
                      <a:tint val="885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Daten!$I$2:$I$13</c15:sqref>
                        </c15:fullRef>
                        <c15:formulaRef>
                          <c15:sqref>(Daten!$I$2:$I$7,Daten!$I$9:$I$13)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2138</c:v>
                      </c:pt>
                      <c:pt idx="1">
                        <c:v>2283</c:v>
                      </c:pt>
                      <c:pt idx="2">
                        <c:v>2331</c:v>
                      </c:pt>
                      <c:pt idx="3">
                        <c:v>2132</c:v>
                      </c:pt>
                      <c:pt idx="4">
                        <c:v>2604</c:v>
                      </c:pt>
                      <c:pt idx="5">
                        <c:v>2031</c:v>
                      </c:pt>
                      <c:pt idx="6">
                        <c:v>1989</c:v>
                      </c:pt>
                      <c:pt idx="7">
                        <c:v>2272</c:v>
                      </c:pt>
                      <c:pt idx="8">
                        <c:v>2080</c:v>
                      </c:pt>
                      <c:pt idx="9">
                        <c:v>857</c:v>
                      </c:pt>
                      <c:pt idx="10">
                        <c:v>2499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F184-45EE-A891-E0272A2D0CB7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Daten!$J$1</c15:sqref>
                        </c15:formulaRef>
                      </c:ext>
                    </c:extLst>
                    <c:strCache>
                      <c:ptCount val="1"/>
                      <c:pt idx="0">
                        <c:v>Precision      (Unwirksam)</c:v>
                      </c:pt>
                    </c:strCache>
                  </c:strRef>
                </c:tx>
                <c:spPr>
                  <a:solidFill>
                    <a:schemeClr val="dk1">
                      <a:tint val="5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Daten!$J$2:$J$13</c15:sqref>
                        </c15:fullRef>
                        <c15:formulaRef>
                          <c15:sqref>(Daten!$J$2:$J$7,Daten!$J$9:$J$13)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0.109</c:v>
                      </c:pt>
                      <c:pt idx="1">
                        <c:v>0.13200000000000001</c:v>
                      </c:pt>
                      <c:pt idx="2">
                        <c:v>0.12</c:v>
                      </c:pt>
                      <c:pt idx="3">
                        <c:v>6.7000000000000004E-2</c:v>
                      </c:pt>
                      <c:pt idx="4">
                        <c:v>0.16300000000000001</c:v>
                      </c:pt>
                      <c:pt idx="5">
                        <c:v>8.2000000000000003E-2</c:v>
                      </c:pt>
                      <c:pt idx="6">
                        <c:v>8.6999999999999994E-2</c:v>
                      </c:pt>
                      <c:pt idx="7">
                        <c:v>0.1</c:v>
                      </c:pt>
                      <c:pt idx="8">
                        <c:v>8.8999999999999996E-2</c:v>
                      </c:pt>
                      <c:pt idx="9">
                        <c:v>0.06</c:v>
                      </c:pt>
                      <c:pt idx="10">
                        <c:v>0.114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F184-45EE-A891-E0272A2D0CB7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Daten!$L$1</c15:sqref>
                        </c15:formulaRef>
                      </c:ext>
                    </c:extLst>
                    <c:strCache>
                      <c:ptCount val="1"/>
                      <c:pt idx="0">
                        <c:v>F1      (Unwirksam)</c:v>
                      </c:pt>
                    </c:strCache>
                  </c:strRef>
                </c:tx>
                <c:spPr>
                  <a:solidFill>
                    <a:schemeClr val="dk1">
                      <a:tint val="985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Daten!$L$2:$L$13</c15:sqref>
                        </c15:fullRef>
                        <c15:formulaRef>
                          <c15:sqref>(Daten!$L$2:$L$7,Daten!$L$9:$L$13)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0.186</c:v>
                      </c:pt>
                      <c:pt idx="1">
                        <c:v>0.219</c:v>
                      </c:pt>
                      <c:pt idx="2">
                        <c:v>0.19500000000000001</c:v>
                      </c:pt>
                      <c:pt idx="3">
                        <c:v>0.115</c:v>
                      </c:pt>
                      <c:pt idx="4">
                        <c:v>0.22600000000000001</c:v>
                      </c:pt>
                      <c:pt idx="5">
                        <c:v>0.14199999999999999</c:v>
                      </c:pt>
                      <c:pt idx="6">
                        <c:v>0.152</c:v>
                      </c:pt>
                      <c:pt idx="7">
                        <c:v>0.16500000000000001</c:v>
                      </c:pt>
                      <c:pt idx="8">
                        <c:v>0.154</c:v>
                      </c:pt>
                      <c:pt idx="9">
                        <c:v>0.113</c:v>
                      </c:pt>
                      <c:pt idx="10">
                        <c:v>0.17199999999999999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F184-45EE-A891-E0272A2D0CB7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Daten!$M$1</c15:sqref>
                        </c15:formulaRef>
                      </c:ext>
                    </c:extLst>
                    <c:strCache>
                      <c:ptCount val="1"/>
                      <c:pt idx="0">
                        <c:v>Precision      (Wirksam)</c:v>
                      </c:pt>
                    </c:strCache>
                  </c:strRef>
                </c:tx>
                <c:spPr>
                  <a:solidFill>
                    <a:schemeClr val="dk1">
                      <a:tint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Daten!$M$2:$M$13</c15:sqref>
                        </c15:fullRef>
                        <c15:formulaRef>
                          <c15:sqref>(Daten!$M$2:$M$7,Daten!$M$9:$M$13)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0.97799999999999998</c:v>
                      </c:pt>
                      <c:pt idx="1">
                        <c:v>0.97899999999999998</c:v>
                      </c:pt>
                      <c:pt idx="2">
                        <c:v>0.97299999999999998</c:v>
                      </c:pt>
                      <c:pt idx="3">
                        <c:v>0.96299999999999997</c:v>
                      </c:pt>
                      <c:pt idx="4">
                        <c:v>0.96799999999999997</c:v>
                      </c:pt>
                      <c:pt idx="5">
                        <c:v>0.97</c:v>
                      </c:pt>
                      <c:pt idx="6">
                        <c:v>0.97399999999999998</c:v>
                      </c:pt>
                      <c:pt idx="7">
                        <c:v>0.97</c:v>
                      </c:pt>
                      <c:pt idx="8">
                        <c:v>0.97199999999999998</c:v>
                      </c:pt>
                      <c:pt idx="9">
                        <c:v>0.99099999999999999</c:v>
                      </c:pt>
                      <c:pt idx="10">
                        <c:v>0.96499999999999997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F184-45EE-A891-E0272A2D0CB7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Daten!$N$1</c15:sqref>
                        </c15:formulaRef>
                      </c:ext>
                    </c:extLst>
                    <c:strCache>
                      <c:ptCount val="1"/>
                      <c:pt idx="0">
                        <c:v>Recall (Wirksam)</c:v>
                      </c:pt>
                    </c:strCache>
                  </c:strRef>
                </c:tx>
                <c:spPr>
                  <a:solidFill>
                    <a:schemeClr val="dk1">
                      <a:tint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Daten!$N$2:$N$13</c15:sqref>
                        </c15:fullRef>
                        <c15:formulaRef>
                          <c15:sqref>(Daten!$N$2:$N$7,Daten!$N$9:$N$13)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0.748</c:v>
                      </c:pt>
                      <c:pt idx="1">
                        <c:v>0.8</c:v>
                      </c:pt>
                      <c:pt idx="2">
                        <c:v>0.81499999999999995</c:v>
                      </c:pt>
                      <c:pt idx="3">
                        <c:v>0.74399999999999999</c:v>
                      </c:pt>
                      <c:pt idx="4">
                        <c:v>0.91</c:v>
                      </c:pt>
                      <c:pt idx="5">
                        <c:v>0.71</c:v>
                      </c:pt>
                      <c:pt idx="6">
                        <c:v>0.69699999999999995</c:v>
                      </c:pt>
                      <c:pt idx="7">
                        <c:v>0.79400000000000004</c:v>
                      </c:pt>
                      <c:pt idx="8">
                        <c:v>0.72599999999999998</c:v>
                      </c:pt>
                      <c:pt idx="9">
                        <c:v>0.3</c:v>
                      </c:pt>
                      <c:pt idx="10">
                        <c:v>0.873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F184-45EE-A891-E0272A2D0CB7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Daten!$O$1</c15:sqref>
                        </c15:formulaRef>
                      </c:ext>
                    </c:extLst>
                    <c:strCache>
                      <c:ptCount val="1"/>
                      <c:pt idx="0">
                        <c:v>F1                           (Wirksam)</c:v>
                      </c:pt>
                    </c:strCache>
                  </c:strRef>
                </c:tx>
                <c:spPr>
                  <a:solidFill>
                    <a:schemeClr val="dk1">
                      <a:tint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Daten!$O$2:$O$13</c15:sqref>
                        </c15:fullRef>
                        <c15:formulaRef>
                          <c15:sqref>(Daten!$O$2:$O$7,Daten!$O$9:$O$13)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0.84699999999999998</c:v>
                      </c:pt>
                      <c:pt idx="1">
                        <c:v>0.88</c:v>
                      </c:pt>
                      <c:pt idx="2">
                        <c:v>0.88700000000000001</c:v>
                      </c:pt>
                      <c:pt idx="3">
                        <c:v>0.83899999999999997</c:v>
                      </c:pt>
                      <c:pt idx="4">
                        <c:v>0.93799999999999994</c:v>
                      </c:pt>
                      <c:pt idx="5">
                        <c:v>0.82</c:v>
                      </c:pt>
                      <c:pt idx="6">
                        <c:v>0.81200000000000006</c:v>
                      </c:pt>
                      <c:pt idx="7">
                        <c:v>0.873</c:v>
                      </c:pt>
                      <c:pt idx="8">
                        <c:v>0.83099999999999996</c:v>
                      </c:pt>
                      <c:pt idx="9">
                        <c:v>0.46</c:v>
                      </c:pt>
                      <c:pt idx="10">
                        <c:v>0.91700000000000004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F184-45EE-A891-E0272A2D0CB7}"/>
                  </c:ext>
                </c:extLst>
              </c15:ser>
            </c15:filteredBarSeries>
            <c15:filteredB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Daten!$P$1</c15:sqref>
                        </c15:formulaRef>
                      </c:ext>
                    </c:extLst>
                    <c:strCache>
                      <c:ptCount val="1"/>
                      <c:pt idx="0">
                        <c:v>F1           (macro)</c:v>
                      </c:pt>
                    </c:strCache>
                  </c:strRef>
                </c:tx>
                <c:spPr>
                  <a:solidFill>
                    <a:schemeClr val="dk1">
                      <a:tint val="885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Daten!$P$2:$P$13</c15:sqref>
                        </c15:fullRef>
                        <c15:formulaRef>
                          <c15:sqref>(Daten!$P$2:$P$7,Daten!$P$9:$P$13)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0.51700000000000002</c:v>
                      </c:pt>
                      <c:pt idx="1">
                        <c:v>0.55000000000000004</c:v>
                      </c:pt>
                      <c:pt idx="2">
                        <c:v>0.54100000000000004</c:v>
                      </c:pt>
                      <c:pt idx="3">
                        <c:v>0.47699999999999998</c:v>
                      </c:pt>
                      <c:pt idx="4">
                        <c:v>0.58199999999999996</c:v>
                      </c:pt>
                      <c:pt idx="5">
                        <c:v>0.48099999999999998</c:v>
                      </c:pt>
                      <c:pt idx="6">
                        <c:v>0.48199999999999998</c:v>
                      </c:pt>
                      <c:pt idx="7">
                        <c:v>0.51900000000000002</c:v>
                      </c:pt>
                      <c:pt idx="8">
                        <c:v>0.49299999999999999</c:v>
                      </c:pt>
                      <c:pt idx="9">
                        <c:v>0.28699999999999998</c:v>
                      </c:pt>
                      <c:pt idx="10">
                        <c:v>0.54400000000000004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F184-45EE-A891-E0272A2D0CB7}"/>
                  </c:ext>
                </c:extLst>
              </c15:ser>
            </c15:filteredBarSeries>
            <c15:filteredBa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Daten!$Q$1</c15:sqref>
                        </c15:formulaRef>
                      </c:ext>
                    </c:extLst>
                    <c:strCache>
                      <c:ptCount val="1"/>
                      <c:pt idx="0">
                        <c:v>F1                 (weighted)</c:v>
                      </c:pt>
                    </c:strCache>
                  </c:strRef>
                </c:tx>
                <c:spPr>
                  <a:solidFill>
                    <a:schemeClr val="dk1">
                      <a:tint val="5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Daten!$Q$2:$Q$13</c15:sqref>
                        </c15:fullRef>
                        <c15:formulaRef>
                          <c15:sqref>(Daten!$Q$2:$Q$7,Daten!$Q$9:$Q$13)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0.81699999999999995</c:v>
                      </c:pt>
                      <c:pt idx="1">
                        <c:v>0.85</c:v>
                      </c:pt>
                      <c:pt idx="2">
                        <c:v>0.85499999999999998</c:v>
                      </c:pt>
                      <c:pt idx="3">
                        <c:v>0.80600000000000005</c:v>
                      </c:pt>
                      <c:pt idx="4">
                        <c:v>0.90600000000000003</c:v>
                      </c:pt>
                      <c:pt idx="5">
                        <c:v>0.78900000000000003</c:v>
                      </c:pt>
                      <c:pt idx="6">
                        <c:v>0.78200000000000003</c:v>
                      </c:pt>
                      <c:pt idx="7">
                        <c:v>0.84099999999999997</c:v>
                      </c:pt>
                      <c:pt idx="8">
                        <c:v>0.8</c:v>
                      </c:pt>
                      <c:pt idx="9">
                        <c:v>0.44400000000000001</c:v>
                      </c:pt>
                      <c:pt idx="10">
                        <c:v>0.88300000000000001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F184-45EE-A891-E0272A2D0CB7}"/>
                  </c:ext>
                </c:extLst>
              </c15:ser>
            </c15:filteredBarSeries>
          </c:ext>
        </c:extLst>
      </c:barChart>
      <c:catAx>
        <c:axId val="110115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01152736"/>
        <c:crosses val="autoZero"/>
        <c:auto val="1"/>
        <c:lblAlgn val="ctr"/>
        <c:lblOffset val="100"/>
        <c:noMultiLvlLbl val="0"/>
      </c:catAx>
      <c:valAx>
        <c:axId val="110115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01157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F1 macro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14"/>
          <c:order val="14"/>
          <c:tx>
            <c:strRef>
              <c:f>Daten!$P$1</c:f>
              <c:strCache>
                <c:ptCount val="1"/>
                <c:pt idx="0">
                  <c:v>F1           (macro)</c:v>
                </c:pt>
              </c:strCache>
              <c:extLst xmlns:c15="http://schemas.microsoft.com/office/drawing/2012/chart"/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Daten!$A$2:$A$13</c15:sqref>
                  </c15:fullRef>
                </c:ext>
              </c:extLst>
              <c:f>(Daten!$A$2:$A$7,Daten!$A$9:$A$13)</c:f>
              <c:strCache>
                <c:ptCount val="11"/>
                <c:pt idx="0">
                  <c:v>Grok-3</c:v>
                </c:pt>
                <c:pt idx="1">
                  <c:v>GPT5</c:v>
                </c:pt>
                <c:pt idx="2">
                  <c:v>GPT4</c:v>
                </c:pt>
                <c:pt idx="3">
                  <c:v>OSS120B</c:v>
                </c:pt>
                <c:pt idx="4">
                  <c:v>GPT o4-mini</c:v>
                </c:pt>
                <c:pt idx="5">
                  <c:v>DeepseekR1</c:v>
                </c:pt>
                <c:pt idx="6">
                  <c:v>Gemma27B</c:v>
                </c:pt>
                <c:pt idx="7">
                  <c:v>Mistral8B</c:v>
                </c:pt>
                <c:pt idx="8">
                  <c:v>LLama38B</c:v>
                </c:pt>
                <c:pt idx="9">
                  <c:v>Llama3DiscoLeo8B</c:v>
                </c:pt>
                <c:pt idx="10">
                  <c:v>GeminiFlashLite2.5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Daten!$P$2:$P$13</c15:sqref>
                  </c15:fullRef>
                </c:ext>
              </c:extLst>
              <c:f>(Daten!$P$2:$P$7,Daten!$P$9:$P$13)</c:f>
              <c:numCache>
                <c:formatCode>General</c:formatCode>
                <c:ptCount val="11"/>
                <c:pt idx="0">
                  <c:v>0.51700000000000002</c:v>
                </c:pt>
                <c:pt idx="1">
                  <c:v>0.55000000000000004</c:v>
                </c:pt>
                <c:pt idx="2">
                  <c:v>0.54100000000000004</c:v>
                </c:pt>
                <c:pt idx="3">
                  <c:v>0.47699999999999998</c:v>
                </c:pt>
                <c:pt idx="4">
                  <c:v>0.58199999999999996</c:v>
                </c:pt>
                <c:pt idx="5">
                  <c:v>0.48099999999999998</c:v>
                </c:pt>
                <c:pt idx="6">
                  <c:v>0.48199999999999998</c:v>
                </c:pt>
                <c:pt idx="7">
                  <c:v>0.51900000000000002</c:v>
                </c:pt>
                <c:pt idx="8">
                  <c:v>0.49299999999999999</c:v>
                </c:pt>
                <c:pt idx="9">
                  <c:v>0.28699999999999998</c:v>
                </c:pt>
                <c:pt idx="10">
                  <c:v>0.54400000000000004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F3-4F19-B029-66E957294F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1157056"/>
        <c:axId val="110115273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Daten!$B$1</c15:sqref>
                        </c15:formulaRef>
                      </c:ext>
                    </c:extLst>
                    <c:strCache>
                      <c:ptCount val="1"/>
                      <c:pt idx="0">
                        <c:v>Gesamtanzahl</c:v>
                      </c:pt>
                    </c:strCache>
                  </c:strRef>
                </c:tx>
                <c:spPr>
                  <a:solidFill>
                    <a:schemeClr val="dk1">
                      <a:tint val="885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Daten!$B$2:$B$13</c15:sqref>
                        </c15:fullRef>
                        <c15:formulaRef>
                          <c15:sqref>(Daten!$B$2:$B$7,Daten!$B$9:$B$13)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3004</c:v>
                      </c:pt>
                      <c:pt idx="1">
                        <c:v>3004</c:v>
                      </c:pt>
                      <c:pt idx="2">
                        <c:v>3004</c:v>
                      </c:pt>
                      <c:pt idx="3">
                        <c:v>3004</c:v>
                      </c:pt>
                      <c:pt idx="4">
                        <c:v>3004</c:v>
                      </c:pt>
                      <c:pt idx="5">
                        <c:v>3004</c:v>
                      </c:pt>
                      <c:pt idx="6">
                        <c:v>3004</c:v>
                      </c:pt>
                      <c:pt idx="7">
                        <c:v>3004</c:v>
                      </c:pt>
                      <c:pt idx="8">
                        <c:v>3004</c:v>
                      </c:pt>
                      <c:pt idx="9">
                        <c:v>3004</c:v>
                      </c:pt>
                      <c:pt idx="10">
                        <c:v>3004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43F3-4F19-B029-66E957294F73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Daten!$C$1</c15:sqref>
                        </c15:formulaRef>
                      </c:ext>
                    </c:extLst>
                    <c:strCache>
                      <c:ptCount val="1"/>
                      <c:pt idx="0">
                        <c:v>Anzahl_Klassifikationen</c:v>
                      </c:pt>
                    </c:strCache>
                  </c:strRef>
                </c:tx>
                <c:spPr>
                  <a:solidFill>
                    <a:schemeClr val="dk1">
                      <a:tint val="5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Daten!$C$2:$C$13</c15:sqref>
                        </c15:fullRef>
                        <c15:formulaRef>
                          <c15:sqref>(Daten!$C$2:$C$7,Daten!$C$9:$C$13)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2996</c:v>
                      </c:pt>
                      <c:pt idx="1">
                        <c:v>2990</c:v>
                      </c:pt>
                      <c:pt idx="2">
                        <c:v>2998</c:v>
                      </c:pt>
                      <c:pt idx="3">
                        <c:v>3002</c:v>
                      </c:pt>
                      <c:pt idx="4">
                        <c:v>2996</c:v>
                      </c:pt>
                      <c:pt idx="5">
                        <c:v>2998</c:v>
                      </c:pt>
                      <c:pt idx="6">
                        <c:v>2989</c:v>
                      </c:pt>
                      <c:pt idx="7">
                        <c:v>2996</c:v>
                      </c:pt>
                      <c:pt idx="8">
                        <c:v>3002</c:v>
                      </c:pt>
                      <c:pt idx="9">
                        <c:v>2995</c:v>
                      </c:pt>
                      <c:pt idx="10">
                        <c:v>3000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3F3-4F19-B029-66E957294F73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Daten!$D$1</c15:sqref>
                        </c15:formulaRef>
                      </c:ext>
                    </c:extLst>
                    <c:strCache>
                      <c:ptCount val="1"/>
                      <c:pt idx="0">
                        <c:v>Fehlende ('-'/NaN/leer)</c:v>
                      </c:pt>
                    </c:strCache>
                  </c:strRef>
                </c:tx>
                <c:spPr>
                  <a:solidFill>
                    <a:schemeClr val="dk1">
                      <a:tint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Daten!$D$2:$D$13</c15:sqref>
                        </c15:fullRef>
                        <c15:formulaRef>
                          <c15:sqref>(Daten!$D$2:$D$7,Daten!$D$9:$D$13)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8</c:v>
                      </c:pt>
                      <c:pt idx="1">
                        <c:v>14</c:v>
                      </c:pt>
                      <c:pt idx="2">
                        <c:v>6</c:v>
                      </c:pt>
                      <c:pt idx="3">
                        <c:v>2</c:v>
                      </c:pt>
                      <c:pt idx="4">
                        <c:v>8</c:v>
                      </c:pt>
                      <c:pt idx="5">
                        <c:v>6</c:v>
                      </c:pt>
                      <c:pt idx="6">
                        <c:v>15</c:v>
                      </c:pt>
                      <c:pt idx="7">
                        <c:v>8</c:v>
                      </c:pt>
                      <c:pt idx="8">
                        <c:v>2</c:v>
                      </c:pt>
                      <c:pt idx="9">
                        <c:v>9</c:v>
                      </c:pt>
                      <c:pt idx="10">
                        <c:v>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3F3-4F19-B029-66E957294F7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Daten!$E$1</c15:sqref>
                        </c15:formulaRef>
                      </c:ext>
                    </c:extLst>
                    <c:strCache>
                      <c:ptCount val="1"/>
                      <c:pt idx="0">
                        <c:v>Accuracy (bereinigt)</c:v>
                      </c:pt>
                    </c:strCache>
                  </c:strRef>
                </c:tx>
                <c:spPr>
                  <a:solidFill>
                    <a:schemeClr val="dk1">
                      <a:tint val="985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Daten!$E$2:$E$13</c15:sqref>
                        </c15:fullRef>
                        <c15:formulaRef>
                          <c15:sqref>(Daten!$E$2:$E$7,Daten!$E$9:$E$13)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0.74299999999999999</c:v>
                      </c:pt>
                      <c:pt idx="1">
                        <c:v>0.79300000000000004</c:v>
                      </c:pt>
                      <c:pt idx="2">
                        <c:v>0.80200000000000005</c:v>
                      </c:pt>
                      <c:pt idx="3">
                        <c:v>0.72799999999999998</c:v>
                      </c:pt>
                      <c:pt idx="4">
                        <c:v>0.88600000000000001</c:v>
                      </c:pt>
                      <c:pt idx="5">
                        <c:v>0.70199999999999996</c:v>
                      </c:pt>
                      <c:pt idx="6">
                        <c:v>0.69299999999999995</c:v>
                      </c:pt>
                      <c:pt idx="7">
                        <c:v>0.78</c:v>
                      </c:pt>
                      <c:pt idx="8">
                        <c:v>0.71899999999999997</c:v>
                      </c:pt>
                      <c:pt idx="9">
                        <c:v>0.32900000000000001</c:v>
                      </c:pt>
                      <c:pt idx="10">
                        <c:v>0.84899999999999998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3F3-4F19-B029-66E957294F73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Daten!$F$1</c15:sqref>
                        </c15:formulaRef>
                      </c:ext>
                    </c:extLst>
                    <c:strCache>
                      <c:ptCount val="1"/>
                      <c:pt idx="0">
                        <c:v>TP</c:v>
                      </c:pt>
                    </c:strCache>
                  </c:strRef>
                </c:tx>
                <c:spPr>
                  <a:solidFill>
                    <a:schemeClr val="dk1">
                      <a:tint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Daten!$F$2:$F$13</c15:sqref>
                        </c15:fullRef>
                        <c15:formulaRef>
                          <c15:sqref>(Daten!$F$2:$F$7,Daten!$F$9:$F$13)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88</c:v>
                      </c:pt>
                      <c:pt idx="1">
                        <c:v>87</c:v>
                      </c:pt>
                      <c:pt idx="2">
                        <c:v>72</c:v>
                      </c:pt>
                      <c:pt idx="3">
                        <c:v>53</c:v>
                      </c:pt>
                      <c:pt idx="4">
                        <c:v>50</c:v>
                      </c:pt>
                      <c:pt idx="5">
                        <c:v>74</c:v>
                      </c:pt>
                      <c:pt idx="6">
                        <c:v>82</c:v>
                      </c:pt>
                      <c:pt idx="7">
                        <c:v>65</c:v>
                      </c:pt>
                      <c:pt idx="8">
                        <c:v>77</c:v>
                      </c:pt>
                      <c:pt idx="9">
                        <c:v>128</c:v>
                      </c:pt>
                      <c:pt idx="10">
                        <c:v>47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3F3-4F19-B029-66E957294F73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Daten!$G$1</c15:sqref>
                        </c15:formulaRef>
                      </c:ext>
                    </c:extLst>
                    <c:strCache>
                      <c:ptCount val="1"/>
                      <c:pt idx="0">
                        <c:v>FP</c:v>
                      </c:pt>
                    </c:strCache>
                  </c:strRef>
                </c:tx>
                <c:spPr>
                  <a:solidFill>
                    <a:schemeClr val="dk1">
                      <a:tint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Daten!$G$2:$G$13</c15:sqref>
                        </c15:fullRef>
                        <c15:formulaRef>
                          <c15:sqref>(Daten!$G$2:$G$7,Daten!$G$9:$G$13)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721</c:v>
                      </c:pt>
                      <c:pt idx="1">
                        <c:v>570</c:v>
                      </c:pt>
                      <c:pt idx="2">
                        <c:v>530</c:v>
                      </c:pt>
                      <c:pt idx="3">
                        <c:v>734</c:v>
                      </c:pt>
                      <c:pt idx="4">
                        <c:v>256</c:v>
                      </c:pt>
                      <c:pt idx="5">
                        <c:v>830</c:v>
                      </c:pt>
                      <c:pt idx="6">
                        <c:v>864</c:v>
                      </c:pt>
                      <c:pt idx="7">
                        <c:v>588</c:v>
                      </c:pt>
                      <c:pt idx="8">
                        <c:v>785</c:v>
                      </c:pt>
                      <c:pt idx="9">
                        <c:v>2002</c:v>
                      </c:pt>
                      <c:pt idx="10">
                        <c:v>364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3F3-4F19-B029-66E957294F73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Daten!$H$1</c15:sqref>
                        </c15:formulaRef>
                      </c:ext>
                    </c:extLst>
                    <c:strCache>
                      <c:ptCount val="1"/>
                      <c:pt idx="0">
                        <c:v>FN</c:v>
                      </c:pt>
                    </c:strCache>
                  </c:strRef>
                </c:tx>
                <c:spPr>
                  <a:solidFill>
                    <a:schemeClr val="dk1">
                      <a:tint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Daten!$H$2:$H$13</c15:sqref>
                        </c15:fullRef>
                        <c15:formulaRef>
                          <c15:sqref>(Daten!$H$2:$H$7,Daten!$H$9:$H$13)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49</c:v>
                      </c:pt>
                      <c:pt idx="1">
                        <c:v>50</c:v>
                      </c:pt>
                      <c:pt idx="2">
                        <c:v>65</c:v>
                      </c:pt>
                      <c:pt idx="3">
                        <c:v>83</c:v>
                      </c:pt>
                      <c:pt idx="4">
                        <c:v>86</c:v>
                      </c:pt>
                      <c:pt idx="5">
                        <c:v>63</c:v>
                      </c:pt>
                      <c:pt idx="6">
                        <c:v>54</c:v>
                      </c:pt>
                      <c:pt idx="7">
                        <c:v>71</c:v>
                      </c:pt>
                      <c:pt idx="8">
                        <c:v>60</c:v>
                      </c:pt>
                      <c:pt idx="9">
                        <c:v>8</c:v>
                      </c:pt>
                      <c:pt idx="10">
                        <c:v>90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3F3-4F19-B029-66E957294F73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Daten!$I$1</c15:sqref>
                        </c15:formulaRef>
                      </c:ext>
                    </c:extLst>
                    <c:strCache>
                      <c:ptCount val="1"/>
                      <c:pt idx="0">
                        <c:v>TN</c:v>
                      </c:pt>
                    </c:strCache>
                  </c:strRef>
                </c:tx>
                <c:spPr>
                  <a:solidFill>
                    <a:schemeClr val="dk1">
                      <a:tint val="885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Daten!$I$2:$I$13</c15:sqref>
                        </c15:fullRef>
                        <c15:formulaRef>
                          <c15:sqref>(Daten!$I$2:$I$7,Daten!$I$9:$I$13)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2138</c:v>
                      </c:pt>
                      <c:pt idx="1">
                        <c:v>2283</c:v>
                      </c:pt>
                      <c:pt idx="2">
                        <c:v>2331</c:v>
                      </c:pt>
                      <c:pt idx="3">
                        <c:v>2132</c:v>
                      </c:pt>
                      <c:pt idx="4">
                        <c:v>2604</c:v>
                      </c:pt>
                      <c:pt idx="5">
                        <c:v>2031</c:v>
                      </c:pt>
                      <c:pt idx="6">
                        <c:v>1989</c:v>
                      </c:pt>
                      <c:pt idx="7">
                        <c:v>2272</c:v>
                      </c:pt>
                      <c:pt idx="8">
                        <c:v>2080</c:v>
                      </c:pt>
                      <c:pt idx="9">
                        <c:v>857</c:v>
                      </c:pt>
                      <c:pt idx="10">
                        <c:v>2499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43F3-4F19-B029-66E957294F73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Daten!$J$1</c15:sqref>
                        </c15:formulaRef>
                      </c:ext>
                    </c:extLst>
                    <c:strCache>
                      <c:ptCount val="1"/>
                      <c:pt idx="0">
                        <c:v>Precision      (Unwirksam)</c:v>
                      </c:pt>
                    </c:strCache>
                  </c:strRef>
                </c:tx>
                <c:spPr>
                  <a:solidFill>
                    <a:schemeClr val="dk1">
                      <a:tint val="5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Daten!$J$2:$J$13</c15:sqref>
                        </c15:fullRef>
                        <c15:formulaRef>
                          <c15:sqref>(Daten!$J$2:$J$7,Daten!$J$9:$J$13)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0.109</c:v>
                      </c:pt>
                      <c:pt idx="1">
                        <c:v>0.13200000000000001</c:v>
                      </c:pt>
                      <c:pt idx="2">
                        <c:v>0.12</c:v>
                      </c:pt>
                      <c:pt idx="3">
                        <c:v>6.7000000000000004E-2</c:v>
                      </c:pt>
                      <c:pt idx="4">
                        <c:v>0.16300000000000001</c:v>
                      </c:pt>
                      <c:pt idx="5">
                        <c:v>8.2000000000000003E-2</c:v>
                      </c:pt>
                      <c:pt idx="6">
                        <c:v>8.6999999999999994E-2</c:v>
                      </c:pt>
                      <c:pt idx="7">
                        <c:v>0.1</c:v>
                      </c:pt>
                      <c:pt idx="8">
                        <c:v>8.8999999999999996E-2</c:v>
                      </c:pt>
                      <c:pt idx="9">
                        <c:v>0.06</c:v>
                      </c:pt>
                      <c:pt idx="10">
                        <c:v>0.114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43F3-4F19-B029-66E957294F73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Daten!$K$1</c15:sqref>
                        </c15:formulaRef>
                      </c:ext>
                    </c:extLst>
                    <c:strCache>
                      <c:ptCount val="1"/>
                      <c:pt idx="0">
                        <c:v>Recall      (Unwirksam)</c:v>
                      </c:pt>
                    </c:strCache>
                  </c:strRef>
                </c:tx>
                <c:spPr>
                  <a:solidFill>
                    <a:schemeClr val="dk1">
                      <a:tint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Daten!$K$2:$K$13</c15:sqref>
                        </c15:fullRef>
                        <c15:formulaRef>
                          <c15:sqref>(Daten!$K$2:$K$7,Daten!$K$9:$K$13)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0.64200000000000002</c:v>
                      </c:pt>
                      <c:pt idx="1">
                        <c:v>0.63500000000000001</c:v>
                      </c:pt>
                      <c:pt idx="2">
                        <c:v>0.52600000000000002</c:v>
                      </c:pt>
                      <c:pt idx="3">
                        <c:v>0.39</c:v>
                      </c:pt>
                      <c:pt idx="4">
                        <c:v>0.36799999999999999</c:v>
                      </c:pt>
                      <c:pt idx="5">
                        <c:v>0.54</c:v>
                      </c:pt>
                      <c:pt idx="6">
                        <c:v>0.60299999999999998</c:v>
                      </c:pt>
                      <c:pt idx="7">
                        <c:v>0.47799999999999998</c:v>
                      </c:pt>
                      <c:pt idx="8">
                        <c:v>0.56200000000000006</c:v>
                      </c:pt>
                      <c:pt idx="9">
                        <c:v>0.94099999999999995</c:v>
                      </c:pt>
                      <c:pt idx="10">
                        <c:v>0.34300000000000003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43F3-4F19-B029-66E957294F73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Daten!$L$1</c15:sqref>
                        </c15:formulaRef>
                      </c:ext>
                    </c:extLst>
                    <c:strCache>
                      <c:ptCount val="1"/>
                      <c:pt idx="0">
                        <c:v>F1      (Unwirksam)</c:v>
                      </c:pt>
                    </c:strCache>
                  </c:strRef>
                </c:tx>
                <c:spPr>
                  <a:solidFill>
                    <a:schemeClr val="dk1">
                      <a:tint val="985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Daten!$L$2:$L$13</c15:sqref>
                        </c15:fullRef>
                        <c15:formulaRef>
                          <c15:sqref>(Daten!$L$2:$L$7,Daten!$L$9:$L$13)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0.186</c:v>
                      </c:pt>
                      <c:pt idx="1">
                        <c:v>0.219</c:v>
                      </c:pt>
                      <c:pt idx="2">
                        <c:v>0.19500000000000001</c:v>
                      </c:pt>
                      <c:pt idx="3">
                        <c:v>0.115</c:v>
                      </c:pt>
                      <c:pt idx="4">
                        <c:v>0.22600000000000001</c:v>
                      </c:pt>
                      <c:pt idx="5">
                        <c:v>0.14199999999999999</c:v>
                      </c:pt>
                      <c:pt idx="6">
                        <c:v>0.152</c:v>
                      </c:pt>
                      <c:pt idx="7">
                        <c:v>0.16500000000000001</c:v>
                      </c:pt>
                      <c:pt idx="8">
                        <c:v>0.154</c:v>
                      </c:pt>
                      <c:pt idx="9">
                        <c:v>0.113</c:v>
                      </c:pt>
                      <c:pt idx="10">
                        <c:v>0.17199999999999999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43F3-4F19-B029-66E957294F73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Daten!$M$1</c15:sqref>
                        </c15:formulaRef>
                      </c:ext>
                    </c:extLst>
                    <c:strCache>
                      <c:ptCount val="1"/>
                      <c:pt idx="0">
                        <c:v>Precision      (Wirksam)</c:v>
                      </c:pt>
                    </c:strCache>
                  </c:strRef>
                </c:tx>
                <c:spPr>
                  <a:solidFill>
                    <a:schemeClr val="dk1">
                      <a:tint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Daten!$M$2:$M$13</c15:sqref>
                        </c15:fullRef>
                        <c15:formulaRef>
                          <c15:sqref>(Daten!$M$2:$M$7,Daten!$M$9:$M$13)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0.97799999999999998</c:v>
                      </c:pt>
                      <c:pt idx="1">
                        <c:v>0.97899999999999998</c:v>
                      </c:pt>
                      <c:pt idx="2">
                        <c:v>0.97299999999999998</c:v>
                      </c:pt>
                      <c:pt idx="3">
                        <c:v>0.96299999999999997</c:v>
                      </c:pt>
                      <c:pt idx="4">
                        <c:v>0.96799999999999997</c:v>
                      </c:pt>
                      <c:pt idx="5">
                        <c:v>0.97</c:v>
                      </c:pt>
                      <c:pt idx="6">
                        <c:v>0.97399999999999998</c:v>
                      </c:pt>
                      <c:pt idx="7">
                        <c:v>0.97</c:v>
                      </c:pt>
                      <c:pt idx="8">
                        <c:v>0.97199999999999998</c:v>
                      </c:pt>
                      <c:pt idx="9">
                        <c:v>0.99099999999999999</c:v>
                      </c:pt>
                      <c:pt idx="10">
                        <c:v>0.96499999999999997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43F3-4F19-B029-66E957294F73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Daten!$N$1</c15:sqref>
                        </c15:formulaRef>
                      </c:ext>
                    </c:extLst>
                    <c:strCache>
                      <c:ptCount val="1"/>
                      <c:pt idx="0">
                        <c:v>Recall (Wirksam)</c:v>
                      </c:pt>
                    </c:strCache>
                  </c:strRef>
                </c:tx>
                <c:spPr>
                  <a:solidFill>
                    <a:schemeClr val="dk1">
                      <a:tint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Daten!$N$2:$N$13</c15:sqref>
                        </c15:fullRef>
                        <c15:formulaRef>
                          <c15:sqref>(Daten!$N$2:$N$7,Daten!$N$9:$N$13)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0.748</c:v>
                      </c:pt>
                      <c:pt idx="1">
                        <c:v>0.8</c:v>
                      </c:pt>
                      <c:pt idx="2">
                        <c:v>0.81499999999999995</c:v>
                      </c:pt>
                      <c:pt idx="3">
                        <c:v>0.74399999999999999</c:v>
                      </c:pt>
                      <c:pt idx="4">
                        <c:v>0.91</c:v>
                      </c:pt>
                      <c:pt idx="5">
                        <c:v>0.71</c:v>
                      </c:pt>
                      <c:pt idx="6">
                        <c:v>0.69699999999999995</c:v>
                      </c:pt>
                      <c:pt idx="7">
                        <c:v>0.79400000000000004</c:v>
                      </c:pt>
                      <c:pt idx="8">
                        <c:v>0.72599999999999998</c:v>
                      </c:pt>
                      <c:pt idx="9">
                        <c:v>0.3</c:v>
                      </c:pt>
                      <c:pt idx="10">
                        <c:v>0.873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43F3-4F19-B029-66E957294F73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Daten!$O$1</c15:sqref>
                        </c15:formulaRef>
                      </c:ext>
                    </c:extLst>
                    <c:strCache>
                      <c:ptCount val="1"/>
                      <c:pt idx="0">
                        <c:v>F1                           (Wirksam)</c:v>
                      </c:pt>
                    </c:strCache>
                  </c:strRef>
                </c:tx>
                <c:spPr>
                  <a:solidFill>
                    <a:schemeClr val="dk1">
                      <a:tint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Daten!$O$2:$O$13</c15:sqref>
                        </c15:fullRef>
                        <c15:formulaRef>
                          <c15:sqref>(Daten!$O$2:$O$7,Daten!$O$9:$O$13)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0.84699999999999998</c:v>
                      </c:pt>
                      <c:pt idx="1">
                        <c:v>0.88</c:v>
                      </c:pt>
                      <c:pt idx="2">
                        <c:v>0.88700000000000001</c:v>
                      </c:pt>
                      <c:pt idx="3">
                        <c:v>0.83899999999999997</c:v>
                      </c:pt>
                      <c:pt idx="4">
                        <c:v>0.93799999999999994</c:v>
                      </c:pt>
                      <c:pt idx="5">
                        <c:v>0.82</c:v>
                      </c:pt>
                      <c:pt idx="6">
                        <c:v>0.81200000000000006</c:v>
                      </c:pt>
                      <c:pt idx="7">
                        <c:v>0.873</c:v>
                      </c:pt>
                      <c:pt idx="8">
                        <c:v>0.83099999999999996</c:v>
                      </c:pt>
                      <c:pt idx="9">
                        <c:v>0.46</c:v>
                      </c:pt>
                      <c:pt idx="10">
                        <c:v>0.91700000000000004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43F3-4F19-B029-66E957294F73}"/>
                  </c:ext>
                </c:extLst>
              </c15:ser>
            </c15:filteredBarSeries>
            <c15:filteredBa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Daten!$Q$1</c15:sqref>
                        </c15:formulaRef>
                      </c:ext>
                    </c:extLst>
                    <c:strCache>
                      <c:ptCount val="1"/>
                      <c:pt idx="0">
                        <c:v>F1                 (weighted)</c:v>
                      </c:pt>
                    </c:strCache>
                  </c:strRef>
                </c:tx>
                <c:spPr>
                  <a:solidFill>
                    <a:schemeClr val="dk1">
                      <a:tint val="5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Daten!$Q$2:$Q$13</c15:sqref>
                        </c15:fullRef>
                        <c15:formulaRef>
                          <c15:sqref>(Daten!$Q$2:$Q$7,Daten!$Q$9:$Q$13)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0.81699999999999995</c:v>
                      </c:pt>
                      <c:pt idx="1">
                        <c:v>0.85</c:v>
                      </c:pt>
                      <c:pt idx="2">
                        <c:v>0.85499999999999998</c:v>
                      </c:pt>
                      <c:pt idx="3">
                        <c:v>0.80600000000000005</c:v>
                      </c:pt>
                      <c:pt idx="4">
                        <c:v>0.90600000000000003</c:v>
                      </c:pt>
                      <c:pt idx="5">
                        <c:v>0.78900000000000003</c:v>
                      </c:pt>
                      <c:pt idx="6">
                        <c:v>0.78200000000000003</c:v>
                      </c:pt>
                      <c:pt idx="7">
                        <c:v>0.84099999999999997</c:v>
                      </c:pt>
                      <c:pt idx="8">
                        <c:v>0.8</c:v>
                      </c:pt>
                      <c:pt idx="9">
                        <c:v>0.44400000000000001</c:v>
                      </c:pt>
                      <c:pt idx="10">
                        <c:v>0.88300000000000001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43F3-4F19-B029-66E957294F73}"/>
                  </c:ext>
                </c:extLst>
              </c15:ser>
            </c15:filteredBarSeries>
          </c:ext>
        </c:extLst>
      </c:barChart>
      <c:catAx>
        <c:axId val="110115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01152736"/>
        <c:crosses val="autoZero"/>
        <c:auto val="1"/>
        <c:lblAlgn val="ctr"/>
        <c:lblOffset val="100"/>
        <c:noMultiLvlLbl val="0"/>
      </c:catAx>
      <c:valAx>
        <c:axId val="110115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01157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F1 unwirksam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10"/>
          <c:order val="10"/>
          <c:tx>
            <c:strRef>
              <c:f>Daten!$L$1</c:f>
              <c:strCache>
                <c:ptCount val="1"/>
                <c:pt idx="0">
                  <c:v>F1      (Unwirksam)</c:v>
                </c:pt>
              </c:strCache>
              <c:extLst xmlns:c15="http://schemas.microsoft.com/office/drawing/2012/chart"/>
            </c:strRef>
          </c:tx>
          <c:spPr>
            <a:solidFill>
              <a:schemeClr val="dk1">
                <a:tint val="985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Daten!$A$2:$A$13</c15:sqref>
                  </c15:fullRef>
                </c:ext>
              </c:extLst>
              <c:f>(Daten!$A$2:$A$7,Daten!$A$9:$A$13)</c:f>
              <c:strCache>
                <c:ptCount val="11"/>
                <c:pt idx="0">
                  <c:v>Grok-3</c:v>
                </c:pt>
                <c:pt idx="1">
                  <c:v>GPT5</c:v>
                </c:pt>
                <c:pt idx="2">
                  <c:v>GPT4</c:v>
                </c:pt>
                <c:pt idx="3">
                  <c:v>OSS120B</c:v>
                </c:pt>
                <c:pt idx="4">
                  <c:v>GPT o4-mini</c:v>
                </c:pt>
                <c:pt idx="5">
                  <c:v>DeepseekR1</c:v>
                </c:pt>
                <c:pt idx="6">
                  <c:v>Gemma27B</c:v>
                </c:pt>
                <c:pt idx="7">
                  <c:v>Mistral8B</c:v>
                </c:pt>
                <c:pt idx="8">
                  <c:v>LLama38B</c:v>
                </c:pt>
                <c:pt idx="9">
                  <c:v>Llama3DiscoLeo8B</c:v>
                </c:pt>
                <c:pt idx="10">
                  <c:v>GeminiFlashLite2.5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Daten!$L$2:$L$13</c15:sqref>
                  </c15:fullRef>
                </c:ext>
              </c:extLst>
              <c:f>(Daten!$L$2:$L$7,Daten!$L$9:$L$13)</c:f>
              <c:numCache>
                <c:formatCode>General</c:formatCode>
                <c:ptCount val="11"/>
                <c:pt idx="0">
                  <c:v>0.186</c:v>
                </c:pt>
                <c:pt idx="1">
                  <c:v>0.219</c:v>
                </c:pt>
                <c:pt idx="2">
                  <c:v>0.19500000000000001</c:v>
                </c:pt>
                <c:pt idx="3">
                  <c:v>0.115</c:v>
                </c:pt>
                <c:pt idx="4">
                  <c:v>0.22600000000000001</c:v>
                </c:pt>
                <c:pt idx="5">
                  <c:v>0.14199999999999999</c:v>
                </c:pt>
                <c:pt idx="6">
                  <c:v>0.152</c:v>
                </c:pt>
                <c:pt idx="7">
                  <c:v>0.16500000000000001</c:v>
                </c:pt>
                <c:pt idx="8">
                  <c:v>0.154</c:v>
                </c:pt>
                <c:pt idx="9">
                  <c:v>0.113</c:v>
                </c:pt>
                <c:pt idx="10">
                  <c:v>0.17199999999999999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0B79-49C1-A131-D0FC8E475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1157056"/>
        <c:axId val="110115273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Daten!$B$1</c15:sqref>
                        </c15:formulaRef>
                      </c:ext>
                    </c:extLst>
                    <c:strCache>
                      <c:ptCount val="1"/>
                      <c:pt idx="0">
                        <c:v>Gesamtanzahl</c:v>
                      </c:pt>
                    </c:strCache>
                  </c:strRef>
                </c:tx>
                <c:spPr>
                  <a:solidFill>
                    <a:schemeClr val="dk1">
                      <a:tint val="885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Daten!$B$2:$B$13</c15:sqref>
                        </c15:fullRef>
                        <c15:formulaRef>
                          <c15:sqref>(Daten!$B$2:$B$7,Daten!$B$9:$B$13)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3004</c:v>
                      </c:pt>
                      <c:pt idx="1">
                        <c:v>3004</c:v>
                      </c:pt>
                      <c:pt idx="2">
                        <c:v>3004</c:v>
                      </c:pt>
                      <c:pt idx="3">
                        <c:v>3004</c:v>
                      </c:pt>
                      <c:pt idx="4">
                        <c:v>3004</c:v>
                      </c:pt>
                      <c:pt idx="5">
                        <c:v>3004</c:v>
                      </c:pt>
                      <c:pt idx="6">
                        <c:v>3004</c:v>
                      </c:pt>
                      <c:pt idx="7">
                        <c:v>3004</c:v>
                      </c:pt>
                      <c:pt idx="8">
                        <c:v>3004</c:v>
                      </c:pt>
                      <c:pt idx="9">
                        <c:v>3004</c:v>
                      </c:pt>
                      <c:pt idx="10">
                        <c:v>3004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0B79-49C1-A131-D0FC8E4758EC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Daten!$C$1</c15:sqref>
                        </c15:formulaRef>
                      </c:ext>
                    </c:extLst>
                    <c:strCache>
                      <c:ptCount val="1"/>
                      <c:pt idx="0">
                        <c:v>Anzahl_Klassifikationen</c:v>
                      </c:pt>
                    </c:strCache>
                  </c:strRef>
                </c:tx>
                <c:spPr>
                  <a:solidFill>
                    <a:schemeClr val="dk1">
                      <a:tint val="5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Daten!$C$2:$C$13</c15:sqref>
                        </c15:fullRef>
                        <c15:formulaRef>
                          <c15:sqref>(Daten!$C$2:$C$7,Daten!$C$9:$C$13)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2996</c:v>
                      </c:pt>
                      <c:pt idx="1">
                        <c:v>2990</c:v>
                      </c:pt>
                      <c:pt idx="2">
                        <c:v>2998</c:v>
                      </c:pt>
                      <c:pt idx="3">
                        <c:v>3002</c:v>
                      </c:pt>
                      <c:pt idx="4">
                        <c:v>2996</c:v>
                      </c:pt>
                      <c:pt idx="5">
                        <c:v>2998</c:v>
                      </c:pt>
                      <c:pt idx="6">
                        <c:v>2989</c:v>
                      </c:pt>
                      <c:pt idx="7">
                        <c:v>2996</c:v>
                      </c:pt>
                      <c:pt idx="8">
                        <c:v>3002</c:v>
                      </c:pt>
                      <c:pt idx="9">
                        <c:v>2995</c:v>
                      </c:pt>
                      <c:pt idx="10">
                        <c:v>3000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B79-49C1-A131-D0FC8E4758EC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Daten!$D$1</c15:sqref>
                        </c15:formulaRef>
                      </c:ext>
                    </c:extLst>
                    <c:strCache>
                      <c:ptCount val="1"/>
                      <c:pt idx="0">
                        <c:v>Fehlende ('-'/NaN/leer)</c:v>
                      </c:pt>
                    </c:strCache>
                  </c:strRef>
                </c:tx>
                <c:spPr>
                  <a:solidFill>
                    <a:schemeClr val="dk1">
                      <a:tint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Daten!$D$2:$D$13</c15:sqref>
                        </c15:fullRef>
                        <c15:formulaRef>
                          <c15:sqref>(Daten!$D$2:$D$7,Daten!$D$9:$D$13)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8</c:v>
                      </c:pt>
                      <c:pt idx="1">
                        <c:v>14</c:v>
                      </c:pt>
                      <c:pt idx="2">
                        <c:v>6</c:v>
                      </c:pt>
                      <c:pt idx="3">
                        <c:v>2</c:v>
                      </c:pt>
                      <c:pt idx="4">
                        <c:v>8</c:v>
                      </c:pt>
                      <c:pt idx="5">
                        <c:v>6</c:v>
                      </c:pt>
                      <c:pt idx="6">
                        <c:v>15</c:v>
                      </c:pt>
                      <c:pt idx="7">
                        <c:v>8</c:v>
                      </c:pt>
                      <c:pt idx="8">
                        <c:v>2</c:v>
                      </c:pt>
                      <c:pt idx="9">
                        <c:v>9</c:v>
                      </c:pt>
                      <c:pt idx="10">
                        <c:v>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B79-49C1-A131-D0FC8E4758EC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Daten!$E$1</c15:sqref>
                        </c15:formulaRef>
                      </c:ext>
                    </c:extLst>
                    <c:strCache>
                      <c:ptCount val="1"/>
                      <c:pt idx="0">
                        <c:v>Accuracy (bereinigt)</c:v>
                      </c:pt>
                    </c:strCache>
                  </c:strRef>
                </c:tx>
                <c:spPr>
                  <a:solidFill>
                    <a:schemeClr val="dk1">
                      <a:tint val="985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Daten!$E$2:$E$13</c15:sqref>
                        </c15:fullRef>
                        <c15:formulaRef>
                          <c15:sqref>(Daten!$E$2:$E$7,Daten!$E$9:$E$13)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0.74299999999999999</c:v>
                      </c:pt>
                      <c:pt idx="1">
                        <c:v>0.79300000000000004</c:v>
                      </c:pt>
                      <c:pt idx="2">
                        <c:v>0.80200000000000005</c:v>
                      </c:pt>
                      <c:pt idx="3">
                        <c:v>0.72799999999999998</c:v>
                      </c:pt>
                      <c:pt idx="4">
                        <c:v>0.88600000000000001</c:v>
                      </c:pt>
                      <c:pt idx="5">
                        <c:v>0.70199999999999996</c:v>
                      </c:pt>
                      <c:pt idx="6">
                        <c:v>0.69299999999999995</c:v>
                      </c:pt>
                      <c:pt idx="7">
                        <c:v>0.78</c:v>
                      </c:pt>
                      <c:pt idx="8">
                        <c:v>0.71899999999999997</c:v>
                      </c:pt>
                      <c:pt idx="9">
                        <c:v>0.32900000000000001</c:v>
                      </c:pt>
                      <c:pt idx="10">
                        <c:v>0.84899999999999998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B79-49C1-A131-D0FC8E4758EC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Daten!$F$1</c15:sqref>
                        </c15:formulaRef>
                      </c:ext>
                    </c:extLst>
                    <c:strCache>
                      <c:ptCount val="1"/>
                      <c:pt idx="0">
                        <c:v>TP</c:v>
                      </c:pt>
                    </c:strCache>
                  </c:strRef>
                </c:tx>
                <c:spPr>
                  <a:solidFill>
                    <a:schemeClr val="dk1">
                      <a:tint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Daten!$F$2:$F$13</c15:sqref>
                        </c15:fullRef>
                        <c15:formulaRef>
                          <c15:sqref>(Daten!$F$2:$F$7,Daten!$F$9:$F$13)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88</c:v>
                      </c:pt>
                      <c:pt idx="1">
                        <c:v>87</c:v>
                      </c:pt>
                      <c:pt idx="2">
                        <c:v>72</c:v>
                      </c:pt>
                      <c:pt idx="3">
                        <c:v>53</c:v>
                      </c:pt>
                      <c:pt idx="4">
                        <c:v>50</c:v>
                      </c:pt>
                      <c:pt idx="5">
                        <c:v>74</c:v>
                      </c:pt>
                      <c:pt idx="6">
                        <c:v>82</c:v>
                      </c:pt>
                      <c:pt idx="7">
                        <c:v>65</c:v>
                      </c:pt>
                      <c:pt idx="8">
                        <c:v>77</c:v>
                      </c:pt>
                      <c:pt idx="9">
                        <c:v>128</c:v>
                      </c:pt>
                      <c:pt idx="10">
                        <c:v>47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B79-49C1-A131-D0FC8E4758EC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Daten!$G$1</c15:sqref>
                        </c15:formulaRef>
                      </c:ext>
                    </c:extLst>
                    <c:strCache>
                      <c:ptCount val="1"/>
                      <c:pt idx="0">
                        <c:v>FP</c:v>
                      </c:pt>
                    </c:strCache>
                  </c:strRef>
                </c:tx>
                <c:spPr>
                  <a:solidFill>
                    <a:schemeClr val="dk1">
                      <a:tint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Daten!$G$2:$G$13</c15:sqref>
                        </c15:fullRef>
                        <c15:formulaRef>
                          <c15:sqref>(Daten!$G$2:$G$7,Daten!$G$9:$G$13)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721</c:v>
                      </c:pt>
                      <c:pt idx="1">
                        <c:v>570</c:v>
                      </c:pt>
                      <c:pt idx="2">
                        <c:v>530</c:v>
                      </c:pt>
                      <c:pt idx="3">
                        <c:v>734</c:v>
                      </c:pt>
                      <c:pt idx="4">
                        <c:v>256</c:v>
                      </c:pt>
                      <c:pt idx="5">
                        <c:v>830</c:v>
                      </c:pt>
                      <c:pt idx="6">
                        <c:v>864</c:v>
                      </c:pt>
                      <c:pt idx="7">
                        <c:v>588</c:v>
                      </c:pt>
                      <c:pt idx="8">
                        <c:v>785</c:v>
                      </c:pt>
                      <c:pt idx="9">
                        <c:v>2002</c:v>
                      </c:pt>
                      <c:pt idx="10">
                        <c:v>364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B79-49C1-A131-D0FC8E4758EC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Daten!$H$1</c15:sqref>
                        </c15:formulaRef>
                      </c:ext>
                    </c:extLst>
                    <c:strCache>
                      <c:ptCount val="1"/>
                      <c:pt idx="0">
                        <c:v>FN</c:v>
                      </c:pt>
                    </c:strCache>
                  </c:strRef>
                </c:tx>
                <c:spPr>
                  <a:solidFill>
                    <a:schemeClr val="dk1">
                      <a:tint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Daten!$H$2:$H$13</c15:sqref>
                        </c15:fullRef>
                        <c15:formulaRef>
                          <c15:sqref>(Daten!$H$2:$H$7,Daten!$H$9:$H$13)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49</c:v>
                      </c:pt>
                      <c:pt idx="1">
                        <c:v>50</c:v>
                      </c:pt>
                      <c:pt idx="2">
                        <c:v>65</c:v>
                      </c:pt>
                      <c:pt idx="3">
                        <c:v>83</c:v>
                      </c:pt>
                      <c:pt idx="4">
                        <c:v>86</c:v>
                      </c:pt>
                      <c:pt idx="5">
                        <c:v>63</c:v>
                      </c:pt>
                      <c:pt idx="6">
                        <c:v>54</c:v>
                      </c:pt>
                      <c:pt idx="7">
                        <c:v>71</c:v>
                      </c:pt>
                      <c:pt idx="8">
                        <c:v>60</c:v>
                      </c:pt>
                      <c:pt idx="9">
                        <c:v>8</c:v>
                      </c:pt>
                      <c:pt idx="10">
                        <c:v>90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B79-49C1-A131-D0FC8E4758EC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Daten!$I$1</c15:sqref>
                        </c15:formulaRef>
                      </c:ext>
                    </c:extLst>
                    <c:strCache>
                      <c:ptCount val="1"/>
                      <c:pt idx="0">
                        <c:v>TN</c:v>
                      </c:pt>
                    </c:strCache>
                  </c:strRef>
                </c:tx>
                <c:spPr>
                  <a:solidFill>
                    <a:schemeClr val="dk1">
                      <a:tint val="885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Daten!$I$2:$I$13</c15:sqref>
                        </c15:fullRef>
                        <c15:formulaRef>
                          <c15:sqref>(Daten!$I$2:$I$7,Daten!$I$9:$I$13)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2138</c:v>
                      </c:pt>
                      <c:pt idx="1">
                        <c:v>2283</c:v>
                      </c:pt>
                      <c:pt idx="2">
                        <c:v>2331</c:v>
                      </c:pt>
                      <c:pt idx="3">
                        <c:v>2132</c:v>
                      </c:pt>
                      <c:pt idx="4">
                        <c:v>2604</c:v>
                      </c:pt>
                      <c:pt idx="5">
                        <c:v>2031</c:v>
                      </c:pt>
                      <c:pt idx="6">
                        <c:v>1989</c:v>
                      </c:pt>
                      <c:pt idx="7">
                        <c:v>2272</c:v>
                      </c:pt>
                      <c:pt idx="8">
                        <c:v>2080</c:v>
                      </c:pt>
                      <c:pt idx="9">
                        <c:v>857</c:v>
                      </c:pt>
                      <c:pt idx="10">
                        <c:v>2499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0B79-49C1-A131-D0FC8E4758EC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Daten!$J$1</c15:sqref>
                        </c15:formulaRef>
                      </c:ext>
                    </c:extLst>
                    <c:strCache>
                      <c:ptCount val="1"/>
                      <c:pt idx="0">
                        <c:v>Precision      (Unwirksam)</c:v>
                      </c:pt>
                    </c:strCache>
                  </c:strRef>
                </c:tx>
                <c:spPr>
                  <a:solidFill>
                    <a:schemeClr val="dk1">
                      <a:tint val="5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Daten!$J$2:$J$13</c15:sqref>
                        </c15:fullRef>
                        <c15:formulaRef>
                          <c15:sqref>(Daten!$J$2:$J$7,Daten!$J$9:$J$13)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0.109</c:v>
                      </c:pt>
                      <c:pt idx="1">
                        <c:v>0.13200000000000001</c:v>
                      </c:pt>
                      <c:pt idx="2">
                        <c:v>0.12</c:v>
                      </c:pt>
                      <c:pt idx="3">
                        <c:v>6.7000000000000004E-2</c:v>
                      </c:pt>
                      <c:pt idx="4">
                        <c:v>0.16300000000000001</c:v>
                      </c:pt>
                      <c:pt idx="5">
                        <c:v>8.2000000000000003E-2</c:v>
                      </c:pt>
                      <c:pt idx="6">
                        <c:v>8.6999999999999994E-2</c:v>
                      </c:pt>
                      <c:pt idx="7">
                        <c:v>0.1</c:v>
                      </c:pt>
                      <c:pt idx="8">
                        <c:v>8.8999999999999996E-2</c:v>
                      </c:pt>
                      <c:pt idx="9">
                        <c:v>0.06</c:v>
                      </c:pt>
                      <c:pt idx="10">
                        <c:v>0.114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0B79-49C1-A131-D0FC8E4758EC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Daten!$K$1</c15:sqref>
                        </c15:formulaRef>
                      </c:ext>
                    </c:extLst>
                    <c:strCache>
                      <c:ptCount val="1"/>
                      <c:pt idx="0">
                        <c:v>Recall      (Unwirksam)</c:v>
                      </c:pt>
                    </c:strCache>
                  </c:strRef>
                </c:tx>
                <c:spPr>
                  <a:solidFill>
                    <a:schemeClr val="dk1">
                      <a:tint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Daten!$K$2:$K$13</c15:sqref>
                        </c15:fullRef>
                        <c15:formulaRef>
                          <c15:sqref>(Daten!$K$2:$K$7,Daten!$K$9:$K$13)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0.64200000000000002</c:v>
                      </c:pt>
                      <c:pt idx="1">
                        <c:v>0.63500000000000001</c:v>
                      </c:pt>
                      <c:pt idx="2">
                        <c:v>0.52600000000000002</c:v>
                      </c:pt>
                      <c:pt idx="3">
                        <c:v>0.39</c:v>
                      </c:pt>
                      <c:pt idx="4">
                        <c:v>0.36799999999999999</c:v>
                      </c:pt>
                      <c:pt idx="5">
                        <c:v>0.54</c:v>
                      </c:pt>
                      <c:pt idx="6">
                        <c:v>0.60299999999999998</c:v>
                      </c:pt>
                      <c:pt idx="7">
                        <c:v>0.47799999999999998</c:v>
                      </c:pt>
                      <c:pt idx="8">
                        <c:v>0.56200000000000006</c:v>
                      </c:pt>
                      <c:pt idx="9">
                        <c:v>0.94099999999999995</c:v>
                      </c:pt>
                      <c:pt idx="10">
                        <c:v>0.34300000000000003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0B79-49C1-A131-D0FC8E4758EC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Daten!$M$1</c15:sqref>
                        </c15:formulaRef>
                      </c:ext>
                    </c:extLst>
                    <c:strCache>
                      <c:ptCount val="1"/>
                      <c:pt idx="0">
                        <c:v>Precision      (Wirksam)</c:v>
                      </c:pt>
                    </c:strCache>
                  </c:strRef>
                </c:tx>
                <c:spPr>
                  <a:solidFill>
                    <a:schemeClr val="dk1">
                      <a:tint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Daten!$M$2:$M$13</c15:sqref>
                        </c15:fullRef>
                        <c15:formulaRef>
                          <c15:sqref>(Daten!$M$2:$M$7,Daten!$M$9:$M$13)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0.97799999999999998</c:v>
                      </c:pt>
                      <c:pt idx="1">
                        <c:v>0.97899999999999998</c:v>
                      </c:pt>
                      <c:pt idx="2">
                        <c:v>0.97299999999999998</c:v>
                      </c:pt>
                      <c:pt idx="3">
                        <c:v>0.96299999999999997</c:v>
                      </c:pt>
                      <c:pt idx="4">
                        <c:v>0.96799999999999997</c:v>
                      </c:pt>
                      <c:pt idx="5">
                        <c:v>0.97</c:v>
                      </c:pt>
                      <c:pt idx="6">
                        <c:v>0.97399999999999998</c:v>
                      </c:pt>
                      <c:pt idx="7">
                        <c:v>0.97</c:v>
                      </c:pt>
                      <c:pt idx="8">
                        <c:v>0.97199999999999998</c:v>
                      </c:pt>
                      <c:pt idx="9">
                        <c:v>0.99099999999999999</c:v>
                      </c:pt>
                      <c:pt idx="10">
                        <c:v>0.96499999999999997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0B79-49C1-A131-D0FC8E4758EC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Daten!$N$1</c15:sqref>
                        </c15:formulaRef>
                      </c:ext>
                    </c:extLst>
                    <c:strCache>
                      <c:ptCount val="1"/>
                      <c:pt idx="0">
                        <c:v>Recall (Wirksam)</c:v>
                      </c:pt>
                    </c:strCache>
                  </c:strRef>
                </c:tx>
                <c:spPr>
                  <a:solidFill>
                    <a:schemeClr val="dk1">
                      <a:tint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Daten!$N$2:$N$13</c15:sqref>
                        </c15:fullRef>
                        <c15:formulaRef>
                          <c15:sqref>(Daten!$N$2:$N$7,Daten!$N$9:$N$13)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0.748</c:v>
                      </c:pt>
                      <c:pt idx="1">
                        <c:v>0.8</c:v>
                      </c:pt>
                      <c:pt idx="2">
                        <c:v>0.81499999999999995</c:v>
                      </c:pt>
                      <c:pt idx="3">
                        <c:v>0.74399999999999999</c:v>
                      </c:pt>
                      <c:pt idx="4">
                        <c:v>0.91</c:v>
                      </c:pt>
                      <c:pt idx="5">
                        <c:v>0.71</c:v>
                      </c:pt>
                      <c:pt idx="6">
                        <c:v>0.69699999999999995</c:v>
                      </c:pt>
                      <c:pt idx="7">
                        <c:v>0.79400000000000004</c:v>
                      </c:pt>
                      <c:pt idx="8">
                        <c:v>0.72599999999999998</c:v>
                      </c:pt>
                      <c:pt idx="9">
                        <c:v>0.3</c:v>
                      </c:pt>
                      <c:pt idx="10">
                        <c:v>0.873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0B79-49C1-A131-D0FC8E4758EC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Daten!$O$1</c15:sqref>
                        </c15:formulaRef>
                      </c:ext>
                    </c:extLst>
                    <c:strCache>
                      <c:ptCount val="1"/>
                      <c:pt idx="0">
                        <c:v>F1                           (Wirksam)</c:v>
                      </c:pt>
                    </c:strCache>
                  </c:strRef>
                </c:tx>
                <c:spPr>
                  <a:solidFill>
                    <a:schemeClr val="dk1">
                      <a:tint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Daten!$O$2:$O$13</c15:sqref>
                        </c15:fullRef>
                        <c15:formulaRef>
                          <c15:sqref>(Daten!$O$2:$O$7,Daten!$O$9:$O$13)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0.84699999999999998</c:v>
                      </c:pt>
                      <c:pt idx="1">
                        <c:v>0.88</c:v>
                      </c:pt>
                      <c:pt idx="2">
                        <c:v>0.88700000000000001</c:v>
                      </c:pt>
                      <c:pt idx="3">
                        <c:v>0.83899999999999997</c:v>
                      </c:pt>
                      <c:pt idx="4">
                        <c:v>0.93799999999999994</c:v>
                      </c:pt>
                      <c:pt idx="5">
                        <c:v>0.82</c:v>
                      </c:pt>
                      <c:pt idx="6">
                        <c:v>0.81200000000000006</c:v>
                      </c:pt>
                      <c:pt idx="7">
                        <c:v>0.873</c:v>
                      </c:pt>
                      <c:pt idx="8">
                        <c:v>0.83099999999999996</c:v>
                      </c:pt>
                      <c:pt idx="9">
                        <c:v>0.46</c:v>
                      </c:pt>
                      <c:pt idx="10">
                        <c:v>0.91700000000000004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0B79-49C1-A131-D0FC8E4758EC}"/>
                  </c:ext>
                </c:extLst>
              </c15:ser>
            </c15:filteredBarSeries>
            <c15:filteredB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Daten!$P$1</c15:sqref>
                        </c15:formulaRef>
                      </c:ext>
                    </c:extLst>
                    <c:strCache>
                      <c:ptCount val="1"/>
                      <c:pt idx="0">
                        <c:v>F1           (macro)</c:v>
                      </c:pt>
                    </c:strCache>
                  </c:strRef>
                </c:tx>
                <c:spPr>
                  <a:solidFill>
                    <a:schemeClr val="dk1">
                      <a:tint val="885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Daten!$P$2:$P$13</c15:sqref>
                        </c15:fullRef>
                        <c15:formulaRef>
                          <c15:sqref>(Daten!$P$2:$P$7,Daten!$P$9:$P$13)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0.51700000000000002</c:v>
                      </c:pt>
                      <c:pt idx="1">
                        <c:v>0.55000000000000004</c:v>
                      </c:pt>
                      <c:pt idx="2">
                        <c:v>0.54100000000000004</c:v>
                      </c:pt>
                      <c:pt idx="3">
                        <c:v>0.47699999999999998</c:v>
                      </c:pt>
                      <c:pt idx="4">
                        <c:v>0.58199999999999996</c:v>
                      </c:pt>
                      <c:pt idx="5">
                        <c:v>0.48099999999999998</c:v>
                      </c:pt>
                      <c:pt idx="6">
                        <c:v>0.48199999999999998</c:v>
                      </c:pt>
                      <c:pt idx="7">
                        <c:v>0.51900000000000002</c:v>
                      </c:pt>
                      <c:pt idx="8">
                        <c:v>0.49299999999999999</c:v>
                      </c:pt>
                      <c:pt idx="9">
                        <c:v>0.28699999999999998</c:v>
                      </c:pt>
                      <c:pt idx="10">
                        <c:v>0.54400000000000004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0B79-49C1-A131-D0FC8E4758EC}"/>
                  </c:ext>
                </c:extLst>
              </c15:ser>
            </c15:filteredBarSeries>
            <c15:filteredBa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Daten!$Q$1</c15:sqref>
                        </c15:formulaRef>
                      </c:ext>
                    </c:extLst>
                    <c:strCache>
                      <c:ptCount val="1"/>
                      <c:pt idx="0">
                        <c:v>F1                 (weighted)</c:v>
                      </c:pt>
                    </c:strCache>
                  </c:strRef>
                </c:tx>
                <c:spPr>
                  <a:solidFill>
                    <a:schemeClr val="dk1">
                      <a:tint val="5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Daten!$Q$2:$Q$13</c15:sqref>
                        </c15:fullRef>
                        <c15:formulaRef>
                          <c15:sqref>(Daten!$Q$2:$Q$7,Daten!$Q$9:$Q$13)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0.81699999999999995</c:v>
                      </c:pt>
                      <c:pt idx="1">
                        <c:v>0.85</c:v>
                      </c:pt>
                      <c:pt idx="2">
                        <c:v>0.85499999999999998</c:v>
                      </c:pt>
                      <c:pt idx="3">
                        <c:v>0.80600000000000005</c:v>
                      </c:pt>
                      <c:pt idx="4">
                        <c:v>0.90600000000000003</c:v>
                      </c:pt>
                      <c:pt idx="5">
                        <c:v>0.78900000000000003</c:v>
                      </c:pt>
                      <c:pt idx="6">
                        <c:v>0.78200000000000003</c:v>
                      </c:pt>
                      <c:pt idx="7">
                        <c:v>0.84099999999999997</c:v>
                      </c:pt>
                      <c:pt idx="8">
                        <c:v>0.8</c:v>
                      </c:pt>
                      <c:pt idx="9">
                        <c:v>0.44400000000000001</c:v>
                      </c:pt>
                      <c:pt idx="10">
                        <c:v>0.88300000000000001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0B79-49C1-A131-D0FC8E4758EC}"/>
                  </c:ext>
                </c:extLst>
              </c15:ser>
            </c15:filteredBarSeries>
          </c:ext>
        </c:extLst>
      </c:barChart>
      <c:catAx>
        <c:axId val="110115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01152736"/>
        <c:crosses val="autoZero"/>
        <c:auto val="1"/>
        <c:lblAlgn val="ctr"/>
        <c:lblOffset val="100"/>
        <c:noMultiLvlLbl val="0"/>
      </c:catAx>
      <c:valAx>
        <c:axId val="110115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01157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Recall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18"/>
          <c:order val="18"/>
          <c:tx>
            <c:strRef>
              <c:f>Daten!$T$1</c:f>
              <c:strCache>
                <c:ptCount val="1"/>
                <c:pt idx="0">
                  <c:v>Recall</c:v>
                </c:pt>
              </c:strCache>
            </c:strRef>
          </c:tx>
          <c:spPr>
            <a:solidFill>
              <a:schemeClr val="dk1">
                <a:tint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Daten!$A$2:$A$13</c15:sqref>
                  </c15:fullRef>
                </c:ext>
              </c:extLst>
              <c:f>(Daten!$A$2:$A$7,Daten!$A$9:$A$13)</c:f>
              <c:strCache>
                <c:ptCount val="11"/>
                <c:pt idx="0">
                  <c:v>Grok-3</c:v>
                </c:pt>
                <c:pt idx="1">
                  <c:v>GPT5</c:v>
                </c:pt>
                <c:pt idx="2">
                  <c:v>GPT4</c:v>
                </c:pt>
                <c:pt idx="3">
                  <c:v>OSS120B</c:v>
                </c:pt>
                <c:pt idx="4">
                  <c:v>GPT o4-mini</c:v>
                </c:pt>
                <c:pt idx="5">
                  <c:v>DeepseekR1</c:v>
                </c:pt>
                <c:pt idx="6">
                  <c:v>Gemma27B</c:v>
                </c:pt>
                <c:pt idx="7">
                  <c:v>Mistral8B</c:v>
                </c:pt>
                <c:pt idx="8">
                  <c:v>LLama38B</c:v>
                </c:pt>
                <c:pt idx="9">
                  <c:v>Llama3DiscoLeo8B</c:v>
                </c:pt>
                <c:pt idx="10">
                  <c:v>GeminiFlashLite2.5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Daten!$T$2:$T$13</c15:sqref>
                  </c15:fullRef>
                </c:ext>
              </c:extLst>
              <c:f>(Daten!$T$2:$T$7,Daten!$T$9:$T$13)</c:f>
              <c:numCache>
                <c:formatCode>0.000</c:formatCode>
                <c:ptCount val="11"/>
                <c:pt idx="0">
                  <c:v>0.64233576642335766</c:v>
                </c:pt>
                <c:pt idx="1">
                  <c:v>0.63503649635036497</c:v>
                </c:pt>
                <c:pt idx="2">
                  <c:v>0.52554744525547448</c:v>
                </c:pt>
                <c:pt idx="3">
                  <c:v>0.38970588235294118</c:v>
                </c:pt>
                <c:pt idx="4">
                  <c:v>0.36764705882352944</c:v>
                </c:pt>
                <c:pt idx="5">
                  <c:v>0.54014598540145986</c:v>
                </c:pt>
                <c:pt idx="6">
                  <c:v>0.6029411764705882</c:v>
                </c:pt>
                <c:pt idx="7">
                  <c:v>0.47794117647058826</c:v>
                </c:pt>
                <c:pt idx="8">
                  <c:v>0.56204379562043794</c:v>
                </c:pt>
                <c:pt idx="9">
                  <c:v>0.94117647058823528</c:v>
                </c:pt>
                <c:pt idx="10">
                  <c:v>0.34306569343065696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C3-4201-8820-D9064CF0CE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1157056"/>
        <c:axId val="110115273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Daten!$B$1</c15:sqref>
                        </c15:formulaRef>
                      </c:ext>
                    </c:extLst>
                    <c:strCache>
                      <c:ptCount val="1"/>
                      <c:pt idx="0">
                        <c:v>Gesamtanzahl</c:v>
                      </c:pt>
                    </c:strCache>
                  </c:strRef>
                </c:tx>
                <c:spPr>
                  <a:solidFill>
                    <a:schemeClr val="dk1">
                      <a:tint val="885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Daten!$B$2:$B$13</c15:sqref>
                        </c15:fullRef>
                        <c15:formulaRef>
                          <c15:sqref>(Daten!$B$2:$B$7,Daten!$B$9:$B$13)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3004</c:v>
                      </c:pt>
                      <c:pt idx="1">
                        <c:v>3004</c:v>
                      </c:pt>
                      <c:pt idx="2">
                        <c:v>3004</c:v>
                      </c:pt>
                      <c:pt idx="3">
                        <c:v>3004</c:v>
                      </c:pt>
                      <c:pt idx="4">
                        <c:v>3004</c:v>
                      </c:pt>
                      <c:pt idx="5">
                        <c:v>3004</c:v>
                      </c:pt>
                      <c:pt idx="6">
                        <c:v>3004</c:v>
                      </c:pt>
                      <c:pt idx="7">
                        <c:v>3004</c:v>
                      </c:pt>
                      <c:pt idx="8">
                        <c:v>3004</c:v>
                      </c:pt>
                      <c:pt idx="9">
                        <c:v>3004</c:v>
                      </c:pt>
                      <c:pt idx="10">
                        <c:v>3004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28C3-4201-8820-D9064CF0CEB3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Daten!$C$1</c15:sqref>
                        </c15:formulaRef>
                      </c:ext>
                    </c:extLst>
                    <c:strCache>
                      <c:ptCount val="1"/>
                      <c:pt idx="0">
                        <c:v>Anzahl_Klassifikationen</c:v>
                      </c:pt>
                    </c:strCache>
                  </c:strRef>
                </c:tx>
                <c:spPr>
                  <a:solidFill>
                    <a:schemeClr val="dk1">
                      <a:tint val="5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Daten!$C$2:$C$13</c15:sqref>
                        </c15:fullRef>
                        <c15:formulaRef>
                          <c15:sqref>(Daten!$C$2:$C$7,Daten!$C$9:$C$13)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2996</c:v>
                      </c:pt>
                      <c:pt idx="1">
                        <c:v>2990</c:v>
                      </c:pt>
                      <c:pt idx="2">
                        <c:v>2998</c:v>
                      </c:pt>
                      <c:pt idx="3">
                        <c:v>3002</c:v>
                      </c:pt>
                      <c:pt idx="4">
                        <c:v>2996</c:v>
                      </c:pt>
                      <c:pt idx="5">
                        <c:v>2998</c:v>
                      </c:pt>
                      <c:pt idx="6">
                        <c:v>2989</c:v>
                      </c:pt>
                      <c:pt idx="7">
                        <c:v>2996</c:v>
                      </c:pt>
                      <c:pt idx="8">
                        <c:v>3002</c:v>
                      </c:pt>
                      <c:pt idx="9">
                        <c:v>2995</c:v>
                      </c:pt>
                      <c:pt idx="10">
                        <c:v>3000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8C3-4201-8820-D9064CF0CEB3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Daten!$D$1</c15:sqref>
                        </c15:formulaRef>
                      </c:ext>
                    </c:extLst>
                    <c:strCache>
                      <c:ptCount val="1"/>
                      <c:pt idx="0">
                        <c:v>Fehlende ('-'/NaN/leer)</c:v>
                      </c:pt>
                    </c:strCache>
                  </c:strRef>
                </c:tx>
                <c:spPr>
                  <a:solidFill>
                    <a:schemeClr val="dk1">
                      <a:tint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Daten!$D$2:$D$13</c15:sqref>
                        </c15:fullRef>
                        <c15:formulaRef>
                          <c15:sqref>(Daten!$D$2:$D$7,Daten!$D$9:$D$13)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8</c:v>
                      </c:pt>
                      <c:pt idx="1">
                        <c:v>14</c:v>
                      </c:pt>
                      <c:pt idx="2">
                        <c:v>6</c:v>
                      </c:pt>
                      <c:pt idx="3">
                        <c:v>2</c:v>
                      </c:pt>
                      <c:pt idx="4">
                        <c:v>8</c:v>
                      </c:pt>
                      <c:pt idx="5">
                        <c:v>6</c:v>
                      </c:pt>
                      <c:pt idx="6">
                        <c:v>15</c:v>
                      </c:pt>
                      <c:pt idx="7">
                        <c:v>8</c:v>
                      </c:pt>
                      <c:pt idx="8">
                        <c:v>2</c:v>
                      </c:pt>
                      <c:pt idx="9">
                        <c:v>9</c:v>
                      </c:pt>
                      <c:pt idx="10">
                        <c:v>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8C3-4201-8820-D9064CF0CEB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Daten!$E$1</c15:sqref>
                        </c15:formulaRef>
                      </c:ext>
                    </c:extLst>
                    <c:strCache>
                      <c:ptCount val="1"/>
                      <c:pt idx="0">
                        <c:v>Accuracy (bereinigt)</c:v>
                      </c:pt>
                    </c:strCache>
                  </c:strRef>
                </c:tx>
                <c:spPr>
                  <a:solidFill>
                    <a:schemeClr val="dk1">
                      <a:tint val="985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Daten!$E$2:$E$13</c15:sqref>
                        </c15:fullRef>
                        <c15:formulaRef>
                          <c15:sqref>(Daten!$E$2:$E$7,Daten!$E$9:$E$13)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0.74299999999999999</c:v>
                      </c:pt>
                      <c:pt idx="1">
                        <c:v>0.79300000000000004</c:v>
                      </c:pt>
                      <c:pt idx="2">
                        <c:v>0.80200000000000005</c:v>
                      </c:pt>
                      <c:pt idx="3">
                        <c:v>0.72799999999999998</c:v>
                      </c:pt>
                      <c:pt idx="4">
                        <c:v>0.88600000000000001</c:v>
                      </c:pt>
                      <c:pt idx="5">
                        <c:v>0.70199999999999996</c:v>
                      </c:pt>
                      <c:pt idx="6">
                        <c:v>0.69299999999999995</c:v>
                      </c:pt>
                      <c:pt idx="7">
                        <c:v>0.78</c:v>
                      </c:pt>
                      <c:pt idx="8">
                        <c:v>0.71899999999999997</c:v>
                      </c:pt>
                      <c:pt idx="9">
                        <c:v>0.32900000000000001</c:v>
                      </c:pt>
                      <c:pt idx="10">
                        <c:v>0.84899999999999998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8C3-4201-8820-D9064CF0CEB3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Daten!$F$1</c15:sqref>
                        </c15:formulaRef>
                      </c:ext>
                    </c:extLst>
                    <c:strCache>
                      <c:ptCount val="1"/>
                      <c:pt idx="0">
                        <c:v>TP</c:v>
                      </c:pt>
                    </c:strCache>
                  </c:strRef>
                </c:tx>
                <c:spPr>
                  <a:solidFill>
                    <a:schemeClr val="dk1">
                      <a:tint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Daten!$F$2:$F$13</c15:sqref>
                        </c15:fullRef>
                        <c15:formulaRef>
                          <c15:sqref>(Daten!$F$2:$F$7,Daten!$F$9:$F$13)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88</c:v>
                      </c:pt>
                      <c:pt idx="1">
                        <c:v>87</c:v>
                      </c:pt>
                      <c:pt idx="2">
                        <c:v>72</c:v>
                      </c:pt>
                      <c:pt idx="3">
                        <c:v>53</c:v>
                      </c:pt>
                      <c:pt idx="4">
                        <c:v>50</c:v>
                      </c:pt>
                      <c:pt idx="5">
                        <c:v>74</c:v>
                      </c:pt>
                      <c:pt idx="6">
                        <c:v>82</c:v>
                      </c:pt>
                      <c:pt idx="7">
                        <c:v>65</c:v>
                      </c:pt>
                      <c:pt idx="8">
                        <c:v>77</c:v>
                      </c:pt>
                      <c:pt idx="9">
                        <c:v>128</c:v>
                      </c:pt>
                      <c:pt idx="10">
                        <c:v>47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8C3-4201-8820-D9064CF0CEB3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Daten!$G$1</c15:sqref>
                        </c15:formulaRef>
                      </c:ext>
                    </c:extLst>
                    <c:strCache>
                      <c:ptCount val="1"/>
                      <c:pt idx="0">
                        <c:v>FP</c:v>
                      </c:pt>
                    </c:strCache>
                  </c:strRef>
                </c:tx>
                <c:spPr>
                  <a:solidFill>
                    <a:schemeClr val="dk1">
                      <a:tint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Daten!$G$2:$G$13</c15:sqref>
                        </c15:fullRef>
                        <c15:formulaRef>
                          <c15:sqref>(Daten!$G$2:$G$7,Daten!$G$9:$G$13)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721</c:v>
                      </c:pt>
                      <c:pt idx="1">
                        <c:v>570</c:v>
                      </c:pt>
                      <c:pt idx="2">
                        <c:v>530</c:v>
                      </c:pt>
                      <c:pt idx="3">
                        <c:v>734</c:v>
                      </c:pt>
                      <c:pt idx="4">
                        <c:v>256</c:v>
                      </c:pt>
                      <c:pt idx="5">
                        <c:v>830</c:v>
                      </c:pt>
                      <c:pt idx="6">
                        <c:v>864</c:v>
                      </c:pt>
                      <c:pt idx="7">
                        <c:v>588</c:v>
                      </c:pt>
                      <c:pt idx="8">
                        <c:v>785</c:v>
                      </c:pt>
                      <c:pt idx="9">
                        <c:v>2002</c:v>
                      </c:pt>
                      <c:pt idx="10">
                        <c:v>364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8C3-4201-8820-D9064CF0CEB3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Daten!$H$1</c15:sqref>
                        </c15:formulaRef>
                      </c:ext>
                    </c:extLst>
                    <c:strCache>
                      <c:ptCount val="1"/>
                      <c:pt idx="0">
                        <c:v>FN</c:v>
                      </c:pt>
                    </c:strCache>
                  </c:strRef>
                </c:tx>
                <c:spPr>
                  <a:solidFill>
                    <a:schemeClr val="dk1">
                      <a:tint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Daten!$H$2:$H$13</c15:sqref>
                        </c15:fullRef>
                        <c15:formulaRef>
                          <c15:sqref>(Daten!$H$2:$H$7,Daten!$H$9:$H$13)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49</c:v>
                      </c:pt>
                      <c:pt idx="1">
                        <c:v>50</c:v>
                      </c:pt>
                      <c:pt idx="2">
                        <c:v>65</c:v>
                      </c:pt>
                      <c:pt idx="3">
                        <c:v>83</c:v>
                      </c:pt>
                      <c:pt idx="4">
                        <c:v>86</c:v>
                      </c:pt>
                      <c:pt idx="5">
                        <c:v>63</c:v>
                      </c:pt>
                      <c:pt idx="6">
                        <c:v>54</c:v>
                      </c:pt>
                      <c:pt idx="7">
                        <c:v>71</c:v>
                      </c:pt>
                      <c:pt idx="8">
                        <c:v>60</c:v>
                      </c:pt>
                      <c:pt idx="9">
                        <c:v>8</c:v>
                      </c:pt>
                      <c:pt idx="10">
                        <c:v>90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8C3-4201-8820-D9064CF0CEB3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Daten!$I$1</c15:sqref>
                        </c15:formulaRef>
                      </c:ext>
                    </c:extLst>
                    <c:strCache>
                      <c:ptCount val="1"/>
                      <c:pt idx="0">
                        <c:v>TN</c:v>
                      </c:pt>
                    </c:strCache>
                  </c:strRef>
                </c:tx>
                <c:spPr>
                  <a:solidFill>
                    <a:schemeClr val="dk1">
                      <a:tint val="885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Daten!$I$2:$I$13</c15:sqref>
                        </c15:fullRef>
                        <c15:formulaRef>
                          <c15:sqref>(Daten!$I$2:$I$7,Daten!$I$9:$I$13)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2138</c:v>
                      </c:pt>
                      <c:pt idx="1">
                        <c:v>2283</c:v>
                      </c:pt>
                      <c:pt idx="2">
                        <c:v>2331</c:v>
                      </c:pt>
                      <c:pt idx="3">
                        <c:v>2132</c:v>
                      </c:pt>
                      <c:pt idx="4">
                        <c:v>2604</c:v>
                      </c:pt>
                      <c:pt idx="5">
                        <c:v>2031</c:v>
                      </c:pt>
                      <c:pt idx="6">
                        <c:v>1989</c:v>
                      </c:pt>
                      <c:pt idx="7">
                        <c:v>2272</c:v>
                      </c:pt>
                      <c:pt idx="8">
                        <c:v>2080</c:v>
                      </c:pt>
                      <c:pt idx="9">
                        <c:v>857</c:v>
                      </c:pt>
                      <c:pt idx="10">
                        <c:v>2499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28C3-4201-8820-D9064CF0CEB3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Daten!$J$1</c15:sqref>
                        </c15:formulaRef>
                      </c:ext>
                    </c:extLst>
                    <c:strCache>
                      <c:ptCount val="1"/>
                      <c:pt idx="0">
                        <c:v>Precision      (Unwirksam)</c:v>
                      </c:pt>
                    </c:strCache>
                  </c:strRef>
                </c:tx>
                <c:spPr>
                  <a:solidFill>
                    <a:schemeClr val="dk1">
                      <a:tint val="5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Daten!$J$2:$J$13</c15:sqref>
                        </c15:fullRef>
                        <c15:formulaRef>
                          <c15:sqref>(Daten!$J$2:$J$7,Daten!$J$9:$J$13)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0.109</c:v>
                      </c:pt>
                      <c:pt idx="1">
                        <c:v>0.13200000000000001</c:v>
                      </c:pt>
                      <c:pt idx="2">
                        <c:v>0.12</c:v>
                      </c:pt>
                      <c:pt idx="3">
                        <c:v>6.7000000000000004E-2</c:v>
                      </c:pt>
                      <c:pt idx="4">
                        <c:v>0.16300000000000001</c:v>
                      </c:pt>
                      <c:pt idx="5">
                        <c:v>8.2000000000000003E-2</c:v>
                      </c:pt>
                      <c:pt idx="6">
                        <c:v>8.6999999999999994E-2</c:v>
                      </c:pt>
                      <c:pt idx="7">
                        <c:v>0.1</c:v>
                      </c:pt>
                      <c:pt idx="8">
                        <c:v>8.8999999999999996E-2</c:v>
                      </c:pt>
                      <c:pt idx="9">
                        <c:v>0.06</c:v>
                      </c:pt>
                      <c:pt idx="10">
                        <c:v>0.114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28C3-4201-8820-D9064CF0CEB3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Daten!$K$1</c15:sqref>
                        </c15:formulaRef>
                      </c:ext>
                    </c:extLst>
                    <c:strCache>
                      <c:ptCount val="1"/>
                      <c:pt idx="0">
                        <c:v>Recall      (Unwirksam)</c:v>
                      </c:pt>
                    </c:strCache>
                  </c:strRef>
                </c:tx>
                <c:spPr>
                  <a:solidFill>
                    <a:schemeClr val="dk1">
                      <a:tint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Daten!$K$2:$K$13</c15:sqref>
                        </c15:fullRef>
                        <c15:formulaRef>
                          <c15:sqref>(Daten!$K$2:$K$7,Daten!$K$9:$K$13)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0.64200000000000002</c:v>
                      </c:pt>
                      <c:pt idx="1">
                        <c:v>0.63500000000000001</c:v>
                      </c:pt>
                      <c:pt idx="2">
                        <c:v>0.52600000000000002</c:v>
                      </c:pt>
                      <c:pt idx="3">
                        <c:v>0.39</c:v>
                      </c:pt>
                      <c:pt idx="4">
                        <c:v>0.36799999999999999</c:v>
                      </c:pt>
                      <c:pt idx="5">
                        <c:v>0.54</c:v>
                      </c:pt>
                      <c:pt idx="6">
                        <c:v>0.60299999999999998</c:v>
                      </c:pt>
                      <c:pt idx="7">
                        <c:v>0.47799999999999998</c:v>
                      </c:pt>
                      <c:pt idx="8">
                        <c:v>0.56200000000000006</c:v>
                      </c:pt>
                      <c:pt idx="9">
                        <c:v>0.94099999999999995</c:v>
                      </c:pt>
                      <c:pt idx="10">
                        <c:v>0.34300000000000003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28C3-4201-8820-D9064CF0CEB3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Daten!$L$1</c15:sqref>
                        </c15:formulaRef>
                      </c:ext>
                    </c:extLst>
                    <c:strCache>
                      <c:ptCount val="1"/>
                      <c:pt idx="0">
                        <c:v>F1      (Unwirksam)</c:v>
                      </c:pt>
                    </c:strCache>
                  </c:strRef>
                </c:tx>
                <c:spPr>
                  <a:solidFill>
                    <a:schemeClr val="dk1">
                      <a:tint val="985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Daten!$L$2:$L$13</c15:sqref>
                        </c15:fullRef>
                        <c15:formulaRef>
                          <c15:sqref>(Daten!$L$2:$L$7,Daten!$L$9:$L$13)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0.186</c:v>
                      </c:pt>
                      <c:pt idx="1">
                        <c:v>0.219</c:v>
                      </c:pt>
                      <c:pt idx="2">
                        <c:v>0.19500000000000001</c:v>
                      </c:pt>
                      <c:pt idx="3">
                        <c:v>0.115</c:v>
                      </c:pt>
                      <c:pt idx="4">
                        <c:v>0.22600000000000001</c:v>
                      </c:pt>
                      <c:pt idx="5">
                        <c:v>0.14199999999999999</c:v>
                      </c:pt>
                      <c:pt idx="6">
                        <c:v>0.152</c:v>
                      </c:pt>
                      <c:pt idx="7">
                        <c:v>0.16500000000000001</c:v>
                      </c:pt>
                      <c:pt idx="8">
                        <c:v>0.154</c:v>
                      </c:pt>
                      <c:pt idx="9">
                        <c:v>0.113</c:v>
                      </c:pt>
                      <c:pt idx="10">
                        <c:v>0.17199999999999999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28C3-4201-8820-D9064CF0CEB3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Daten!$M$1</c15:sqref>
                        </c15:formulaRef>
                      </c:ext>
                    </c:extLst>
                    <c:strCache>
                      <c:ptCount val="1"/>
                      <c:pt idx="0">
                        <c:v>Precision      (Wirksam)</c:v>
                      </c:pt>
                    </c:strCache>
                  </c:strRef>
                </c:tx>
                <c:spPr>
                  <a:solidFill>
                    <a:schemeClr val="dk1">
                      <a:tint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Daten!$M$2:$M$13</c15:sqref>
                        </c15:fullRef>
                        <c15:formulaRef>
                          <c15:sqref>(Daten!$M$2:$M$7,Daten!$M$9:$M$13)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0.97799999999999998</c:v>
                      </c:pt>
                      <c:pt idx="1">
                        <c:v>0.97899999999999998</c:v>
                      </c:pt>
                      <c:pt idx="2">
                        <c:v>0.97299999999999998</c:v>
                      </c:pt>
                      <c:pt idx="3">
                        <c:v>0.96299999999999997</c:v>
                      </c:pt>
                      <c:pt idx="4">
                        <c:v>0.96799999999999997</c:v>
                      </c:pt>
                      <c:pt idx="5">
                        <c:v>0.97</c:v>
                      </c:pt>
                      <c:pt idx="6">
                        <c:v>0.97399999999999998</c:v>
                      </c:pt>
                      <c:pt idx="7">
                        <c:v>0.97</c:v>
                      </c:pt>
                      <c:pt idx="8">
                        <c:v>0.97199999999999998</c:v>
                      </c:pt>
                      <c:pt idx="9">
                        <c:v>0.99099999999999999</c:v>
                      </c:pt>
                      <c:pt idx="10">
                        <c:v>0.96499999999999997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28C3-4201-8820-D9064CF0CEB3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Daten!$N$1</c15:sqref>
                        </c15:formulaRef>
                      </c:ext>
                    </c:extLst>
                    <c:strCache>
                      <c:ptCount val="1"/>
                      <c:pt idx="0">
                        <c:v>Recall (Wirksam)</c:v>
                      </c:pt>
                    </c:strCache>
                  </c:strRef>
                </c:tx>
                <c:spPr>
                  <a:solidFill>
                    <a:schemeClr val="dk1">
                      <a:tint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Daten!$N$2:$N$13</c15:sqref>
                        </c15:fullRef>
                        <c15:formulaRef>
                          <c15:sqref>(Daten!$N$2:$N$7,Daten!$N$9:$N$13)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0.748</c:v>
                      </c:pt>
                      <c:pt idx="1">
                        <c:v>0.8</c:v>
                      </c:pt>
                      <c:pt idx="2">
                        <c:v>0.81499999999999995</c:v>
                      </c:pt>
                      <c:pt idx="3">
                        <c:v>0.74399999999999999</c:v>
                      </c:pt>
                      <c:pt idx="4">
                        <c:v>0.91</c:v>
                      </c:pt>
                      <c:pt idx="5">
                        <c:v>0.71</c:v>
                      </c:pt>
                      <c:pt idx="6">
                        <c:v>0.69699999999999995</c:v>
                      </c:pt>
                      <c:pt idx="7">
                        <c:v>0.79400000000000004</c:v>
                      </c:pt>
                      <c:pt idx="8">
                        <c:v>0.72599999999999998</c:v>
                      </c:pt>
                      <c:pt idx="9">
                        <c:v>0.3</c:v>
                      </c:pt>
                      <c:pt idx="10">
                        <c:v>0.873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28C3-4201-8820-D9064CF0CEB3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Daten!$O$1</c15:sqref>
                        </c15:formulaRef>
                      </c:ext>
                    </c:extLst>
                    <c:strCache>
                      <c:ptCount val="1"/>
                      <c:pt idx="0">
                        <c:v>F1                           (Wirksam)</c:v>
                      </c:pt>
                    </c:strCache>
                  </c:strRef>
                </c:tx>
                <c:spPr>
                  <a:solidFill>
                    <a:schemeClr val="dk1">
                      <a:tint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Daten!$O$2:$O$13</c15:sqref>
                        </c15:fullRef>
                        <c15:formulaRef>
                          <c15:sqref>(Daten!$O$2:$O$7,Daten!$O$9:$O$13)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0.84699999999999998</c:v>
                      </c:pt>
                      <c:pt idx="1">
                        <c:v>0.88</c:v>
                      </c:pt>
                      <c:pt idx="2">
                        <c:v>0.88700000000000001</c:v>
                      </c:pt>
                      <c:pt idx="3">
                        <c:v>0.83899999999999997</c:v>
                      </c:pt>
                      <c:pt idx="4">
                        <c:v>0.93799999999999994</c:v>
                      </c:pt>
                      <c:pt idx="5">
                        <c:v>0.82</c:v>
                      </c:pt>
                      <c:pt idx="6">
                        <c:v>0.81200000000000006</c:v>
                      </c:pt>
                      <c:pt idx="7">
                        <c:v>0.873</c:v>
                      </c:pt>
                      <c:pt idx="8">
                        <c:v>0.83099999999999996</c:v>
                      </c:pt>
                      <c:pt idx="9">
                        <c:v>0.46</c:v>
                      </c:pt>
                      <c:pt idx="10">
                        <c:v>0.91700000000000004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28C3-4201-8820-D9064CF0CEB3}"/>
                  </c:ext>
                </c:extLst>
              </c15:ser>
            </c15:filteredBarSeries>
            <c15:filteredB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Daten!$P$1</c15:sqref>
                        </c15:formulaRef>
                      </c:ext>
                    </c:extLst>
                    <c:strCache>
                      <c:ptCount val="1"/>
                      <c:pt idx="0">
                        <c:v>F1           (macro)</c:v>
                      </c:pt>
                    </c:strCache>
                  </c:strRef>
                </c:tx>
                <c:spPr>
                  <a:solidFill>
                    <a:schemeClr val="dk1">
                      <a:tint val="885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Daten!$P$2:$P$13</c15:sqref>
                        </c15:fullRef>
                        <c15:formulaRef>
                          <c15:sqref>(Daten!$P$2:$P$7,Daten!$P$9:$P$13)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0.51700000000000002</c:v>
                      </c:pt>
                      <c:pt idx="1">
                        <c:v>0.55000000000000004</c:v>
                      </c:pt>
                      <c:pt idx="2">
                        <c:v>0.54100000000000004</c:v>
                      </c:pt>
                      <c:pt idx="3">
                        <c:v>0.47699999999999998</c:v>
                      </c:pt>
                      <c:pt idx="4">
                        <c:v>0.58199999999999996</c:v>
                      </c:pt>
                      <c:pt idx="5">
                        <c:v>0.48099999999999998</c:v>
                      </c:pt>
                      <c:pt idx="6">
                        <c:v>0.48199999999999998</c:v>
                      </c:pt>
                      <c:pt idx="7">
                        <c:v>0.51900000000000002</c:v>
                      </c:pt>
                      <c:pt idx="8">
                        <c:v>0.49299999999999999</c:v>
                      </c:pt>
                      <c:pt idx="9">
                        <c:v>0.28699999999999998</c:v>
                      </c:pt>
                      <c:pt idx="10">
                        <c:v>0.54400000000000004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28C3-4201-8820-D9064CF0CEB3}"/>
                  </c:ext>
                </c:extLst>
              </c15:ser>
            </c15:filteredBarSeries>
            <c15:filteredBa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Daten!$Q$1</c15:sqref>
                        </c15:formulaRef>
                      </c:ext>
                    </c:extLst>
                    <c:strCache>
                      <c:ptCount val="1"/>
                      <c:pt idx="0">
                        <c:v>F1                 (weighted)</c:v>
                      </c:pt>
                    </c:strCache>
                  </c:strRef>
                </c:tx>
                <c:spPr>
                  <a:solidFill>
                    <a:schemeClr val="dk1">
                      <a:tint val="5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Daten!$Q$2:$Q$13</c15:sqref>
                        </c15:fullRef>
                        <c15:formulaRef>
                          <c15:sqref>(Daten!$Q$2:$Q$7,Daten!$Q$9:$Q$13)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0.81699999999999995</c:v>
                      </c:pt>
                      <c:pt idx="1">
                        <c:v>0.85</c:v>
                      </c:pt>
                      <c:pt idx="2">
                        <c:v>0.85499999999999998</c:v>
                      </c:pt>
                      <c:pt idx="3">
                        <c:v>0.80600000000000005</c:v>
                      </c:pt>
                      <c:pt idx="4">
                        <c:v>0.90600000000000003</c:v>
                      </c:pt>
                      <c:pt idx="5">
                        <c:v>0.78900000000000003</c:v>
                      </c:pt>
                      <c:pt idx="6">
                        <c:v>0.78200000000000003</c:v>
                      </c:pt>
                      <c:pt idx="7">
                        <c:v>0.84099999999999997</c:v>
                      </c:pt>
                      <c:pt idx="8">
                        <c:v>0.8</c:v>
                      </c:pt>
                      <c:pt idx="9">
                        <c:v>0.44400000000000001</c:v>
                      </c:pt>
                      <c:pt idx="10">
                        <c:v>0.88300000000000001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28C3-4201-8820-D9064CF0CEB3}"/>
                  </c:ext>
                </c:extLst>
              </c15:ser>
            </c15:filteredBarSeries>
            <c15:filteredBa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Daten!$R$1</c15:sqref>
                        </c15:formulaRef>
                      </c:ext>
                    </c:extLst>
                    <c:strCache>
                      <c:ptCount val="1"/>
                      <c:pt idx="0">
                        <c:v>Precision       Macro</c:v>
                      </c:pt>
                    </c:strCache>
                  </c:strRef>
                </c:tx>
                <c:spPr>
                  <a:solidFill>
                    <a:schemeClr val="dk1">
                      <a:tint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Daten!$R$2:$R$13</c15:sqref>
                        </c15:fullRef>
                        <c15:formulaRef>
                          <c15:sqref>(Daten!$R$2:$R$7,Daten!$R$9:$R$13)</c15:sqref>
                        </c15:formulaRef>
                      </c:ext>
                    </c:extLst>
                    <c:numCache>
                      <c:formatCode>0.000</c:formatCode>
                      <c:ptCount val="11"/>
                      <c:pt idx="0">
                        <c:v>0.54349999999999998</c:v>
                      </c:pt>
                      <c:pt idx="1">
                        <c:v>0.55549999999999999</c:v>
                      </c:pt>
                      <c:pt idx="2">
                        <c:v>0.54649999999999999</c:v>
                      </c:pt>
                      <c:pt idx="3">
                        <c:v>0.51500000000000001</c:v>
                      </c:pt>
                      <c:pt idx="4">
                        <c:v>0.5655</c:v>
                      </c:pt>
                      <c:pt idx="5">
                        <c:v>0.52600000000000002</c:v>
                      </c:pt>
                      <c:pt idx="6">
                        <c:v>0.53049999999999997</c:v>
                      </c:pt>
                      <c:pt idx="7">
                        <c:v>0.53500000000000003</c:v>
                      </c:pt>
                      <c:pt idx="8">
                        <c:v>0.53049999999999997</c:v>
                      </c:pt>
                      <c:pt idx="9">
                        <c:v>0.52549999999999997</c:v>
                      </c:pt>
                      <c:pt idx="10">
                        <c:v>0.53949999999999998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28C3-4201-8820-D9064CF0CEB3}"/>
                  </c:ext>
                </c:extLst>
              </c15:ser>
            </c15:filteredBarSeries>
            <c15:filteredBa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Daten!$S$1</c15:sqref>
                        </c15:formulaRef>
                      </c:ext>
                    </c:extLst>
                    <c:strCache>
                      <c:ptCount val="1"/>
                      <c:pt idx="0">
                        <c:v> Prec                 Micro</c:v>
                      </c:pt>
                    </c:strCache>
                  </c:strRef>
                </c:tx>
                <c:spPr>
                  <a:solidFill>
                    <a:schemeClr val="dk1">
                      <a:tint val="985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Daten!$S$2:$S$13</c15:sqref>
                        </c15:fullRef>
                        <c15:formulaRef>
                          <c15:sqref>(Daten!$S$2:$S$7,Daten!$S$9:$S$13)</c15:sqref>
                        </c15:formulaRef>
                      </c:ext>
                    </c:extLst>
                    <c:numCache>
                      <c:formatCode>0.000</c:formatCode>
                      <c:ptCount val="11"/>
                      <c:pt idx="0">
                        <c:v>0.10877626699629171</c:v>
                      </c:pt>
                      <c:pt idx="1">
                        <c:v>0.13242009132420091</c:v>
                      </c:pt>
                      <c:pt idx="2">
                        <c:v>0.11960132890365449</c:v>
                      </c:pt>
                      <c:pt idx="3">
                        <c:v>6.734434561626429E-2</c:v>
                      </c:pt>
                      <c:pt idx="4">
                        <c:v>0.16339869281045752</c:v>
                      </c:pt>
                      <c:pt idx="5">
                        <c:v>8.185840707964602E-2</c:v>
                      </c:pt>
                      <c:pt idx="6">
                        <c:v>8.6680761099365747E-2</c:v>
                      </c:pt>
                      <c:pt idx="7">
                        <c:v>9.9540581929555894E-2</c:v>
                      </c:pt>
                      <c:pt idx="8">
                        <c:v>8.9327146171693739E-2</c:v>
                      </c:pt>
                      <c:pt idx="9">
                        <c:v>6.0093896713615022E-2</c:v>
                      </c:pt>
                      <c:pt idx="10">
                        <c:v>0.11435523114355231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28C3-4201-8820-D9064CF0CEB3}"/>
                  </c:ext>
                </c:extLst>
              </c15:ser>
            </c15:filteredBarSeries>
          </c:ext>
        </c:extLst>
      </c:barChart>
      <c:catAx>
        <c:axId val="110115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01152736"/>
        <c:crosses val="autoZero"/>
        <c:auto val="1"/>
        <c:lblAlgn val="ctr"/>
        <c:lblOffset val="100"/>
        <c:noMultiLvlLbl val="0"/>
      </c:catAx>
      <c:valAx>
        <c:axId val="110115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01157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Precision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19"/>
          <c:order val="19"/>
          <c:tx>
            <c:strRef>
              <c:f>Daten!$U$1</c:f>
              <c:strCache>
                <c:ptCount val="1"/>
                <c:pt idx="0">
                  <c:v>Prec</c:v>
                </c:pt>
              </c:strCache>
              <c:extLst xmlns:c15="http://schemas.microsoft.com/office/drawing/2012/chart"/>
            </c:strRef>
          </c:tx>
          <c:spPr>
            <a:solidFill>
              <a:schemeClr val="dk1">
                <a:tint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Daten!$A$2:$A$13</c15:sqref>
                  </c15:fullRef>
                </c:ext>
              </c:extLst>
              <c:f>(Daten!$A$2:$A$7,Daten!$A$9:$A$13)</c:f>
              <c:strCache>
                <c:ptCount val="11"/>
                <c:pt idx="0">
                  <c:v>Grok-3</c:v>
                </c:pt>
                <c:pt idx="1">
                  <c:v>GPT5</c:v>
                </c:pt>
                <c:pt idx="2">
                  <c:v>GPT4</c:v>
                </c:pt>
                <c:pt idx="3">
                  <c:v>OSS120B</c:v>
                </c:pt>
                <c:pt idx="4">
                  <c:v>GPT o4-mini</c:v>
                </c:pt>
                <c:pt idx="5">
                  <c:v>DeepseekR1</c:v>
                </c:pt>
                <c:pt idx="6">
                  <c:v>Gemma27B</c:v>
                </c:pt>
                <c:pt idx="7">
                  <c:v>Mistral8B</c:v>
                </c:pt>
                <c:pt idx="8">
                  <c:v>LLama38B</c:v>
                </c:pt>
                <c:pt idx="9">
                  <c:v>Llama3DiscoLeo8B</c:v>
                </c:pt>
                <c:pt idx="10">
                  <c:v>GeminiFlashLite2.5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Daten!$U$2:$U$13</c15:sqref>
                  </c15:fullRef>
                </c:ext>
              </c:extLst>
              <c:f>(Daten!$U$2:$U$7,Daten!$U$9:$U$13)</c:f>
              <c:numCache>
                <c:formatCode>0.000</c:formatCode>
                <c:ptCount val="11"/>
                <c:pt idx="0">
                  <c:v>0.10877626699629171</c:v>
                </c:pt>
                <c:pt idx="1">
                  <c:v>0.13242009132420091</c:v>
                </c:pt>
                <c:pt idx="2">
                  <c:v>0.11960132890365449</c:v>
                </c:pt>
                <c:pt idx="3">
                  <c:v>6.734434561626429E-2</c:v>
                </c:pt>
                <c:pt idx="4">
                  <c:v>0.16339869281045752</c:v>
                </c:pt>
                <c:pt idx="5">
                  <c:v>8.185840707964602E-2</c:v>
                </c:pt>
                <c:pt idx="6">
                  <c:v>8.6680761099365747E-2</c:v>
                </c:pt>
                <c:pt idx="7">
                  <c:v>9.9540581929555894E-2</c:v>
                </c:pt>
                <c:pt idx="8">
                  <c:v>8.9327146171693739E-2</c:v>
                </c:pt>
                <c:pt idx="9">
                  <c:v>6.0093896713615022E-2</c:v>
                </c:pt>
                <c:pt idx="10">
                  <c:v>0.11435523114355231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8D-4A1F-8DD5-A1E5215F68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1157056"/>
        <c:axId val="110115273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Daten!$B$1</c15:sqref>
                        </c15:formulaRef>
                      </c:ext>
                    </c:extLst>
                    <c:strCache>
                      <c:ptCount val="1"/>
                      <c:pt idx="0">
                        <c:v>Gesamtanzahl</c:v>
                      </c:pt>
                    </c:strCache>
                  </c:strRef>
                </c:tx>
                <c:spPr>
                  <a:solidFill>
                    <a:schemeClr val="dk1">
                      <a:tint val="885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Daten!$B$2:$B$13</c15:sqref>
                        </c15:fullRef>
                        <c15:formulaRef>
                          <c15:sqref>(Daten!$B$2:$B$7,Daten!$B$9:$B$13)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3004</c:v>
                      </c:pt>
                      <c:pt idx="1">
                        <c:v>3004</c:v>
                      </c:pt>
                      <c:pt idx="2">
                        <c:v>3004</c:v>
                      </c:pt>
                      <c:pt idx="3">
                        <c:v>3004</c:v>
                      </c:pt>
                      <c:pt idx="4">
                        <c:v>3004</c:v>
                      </c:pt>
                      <c:pt idx="5">
                        <c:v>3004</c:v>
                      </c:pt>
                      <c:pt idx="6">
                        <c:v>3004</c:v>
                      </c:pt>
                      <c:pt idx="7">
                        <c:v>3004</c:v>
                      </c:pt>
                      <c:pt idx="8">
                        <c:v>3004</c:v>
                      </c:pt>
                      <c:pt idx="9">
                        <c:v>3004</c:v>
                      </c:pt>
                      <c:pt idx="10">
                        <c:v>3004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C48D-4A1F-8DD5-A1E5215F685C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Daten!$C$1</c15:sqref>
                        </c15:formulaRef>
                      </c:ext>
                    </c:extLst>
                    <c:strCache>
                      <c:ptCount val="1"/>
                      <c:pt idx="0">
                        <c:v>Anzahl_Klassifikationen</c:v>
                      </c:pt>
                    </c:strCache>
                  </c:strRef>
                </c:tx>
                <c:spPr>
                  <a:solidFill>
                    <a:schemeClr val="dk1">
                      <a:tint val="5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Daten!$C$2:$C$13</c15:sqref>
                        </c15:fullRef>
                        <c15:formulaRef>
                          <c15:sqref>(Daten!$C$2:$C$7,Daten!$C$9:$C$13)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2996</c:v>
                      </c:pt>
                      <c:pt idx="1">
                        <c:v>2990</c:v>
                      </c:pt>
                      <c:pt idx="2">
                        <c:v>2998</c:v>
                      </c:pt>
                      <c:pt idx="3">
                        <c:v>3002</c:v>
                      </c:pt>
                      <c:pt idx="4">
                        <c:v>2996</c:v>
                      </c:pt>
                      <c:pt idx="5">
                        <c:v>2998</c:v>
                      </c:pt>
                      <c:pt idx="6">
                        <c:v>2989</c:v>
                      </c:pt>
                      <c:pt idx="7">
                        <c:v>2996</c:v>
                      </c:pt>
                      <c:pt idx="8">
                        <c:v>3002</c:v>
                      </c:pt>
                      <c:pt idx="9">
                        <c:v>2995</c:v>
                      </c:pt>
                      <c:pt idx="10">
                        <c:v>3000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48D-4A1F-8DD5-A1E5215F685C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Daten!$D$1</c15:sqref>
                        </c15:formulaRef>
                      </c:ext>
                    </c:extLst>
                    <c:strCache>
                      <c:ptCount val="1"/>
                      <c:pt idx="0">
                        <c:v>Fehlende ('-'/NaN/leer)</c:v>
                      </c:pt>
                    </c:strCache>
                  </c:strRef>
                </c:tx>
                <c:spPr>
                  <a:solidFill>
                    <a:schemeClr val="dk1">
                      <a:tint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Daten!$D$2:$D$13</c15:sqref>
                        </c15:fullRef>
                        <c15:formulaRef>
                          <c15:sqref>(Daten!$D$2:$D$7,Daten!$D$9:$D$13)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8</c:v>
                      </c:pt>
                      <c:pt idx="1">
                        <c:v>14</c:v>
                      </c:pt>
                      <c:pt idx="2">
                        <c:v>6</c:v>
                      </c:pt>
                      <c:pt idx="3">
                        <c:v>2</c:v>
                      </c:pt>
                      <c:pt idx="4">
                        <c:v>8</c:v>
                      </c:pt>
                      <c:pt idx="5">
                        <c:v>6</c:v>
                      </c:pt>
                      <c:pt idx="6">
                        <c:v>15</c:v>
                      </c:pt>
                      <c:pt idx="7">
                        <c:v>8</c:v>
                      </c:pt>
                      <c:pt idx="8">
                        <c:v>2</c:v>
                      </c:pt>
                      <c:pt idx="9">
                        <c:v>9</c:v>
                      </c:pt>
                      <c:pt idx="10">
                        <c:v>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48D-4A1F-8DD5-A1E5215F685C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Daten!$E$1</c15:sqref>
                        </c15:formulaRef>
                      </c:ext>
                    </c:extLst>
                    <c:strCache>
                      <c:ptCount val="1"/>
                      <c:pt idx="0">
                        <c:v>Accuracy (bereinigt)</c:v>
                      </c:pt>
                    </c:strCache>
                  </c:strRef>
                </c:tx>
                <c:spPr>
                  <a:solidFill>
                    <a:schemeClr val="dk1">
                      <a:tint val="985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Daten!$E$2:$E$13</c15:sqref>
                        </c15:fullRef>
                        <c15:formulaRef>
                          <c15:sqref>(Daten!$E$2:$E$7,Daten!$E$9:$E$13)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0.74299999999999999</c:v>
                      </c:pt>
                      <c:pt idx="1">
                        <c:v>0.79300000000000004</c:v>
                      </c:pt>
                      <c:pt idx="2">
                        <c:v>0.80200000000000005</c:v>
                      </c:pt>
                      <c:pt idx="3">
                        <c:v>0.72799999999999998</c:v>
                      </c:pt>
                      <c:pt idx="4">
                        <c:v>0.88600000000000001</c:v>
                      </c:pt>
                      <c:pt idx="5">
                        <c:v>0.70199999999999996</c:v>
                      </c:pt>
                      <c:pt idx="6">
                        <c:v>0.69299999999999995</c:v>
                      </c:pt>
                      <c:pt idx="7">
                        <c:v>0.78</c:v>
                      </c:pt>
                      <c:pt idx="8">
                        <c:v>0.71899999999999997</c:v>
                      </c:pt>
                      <c:pt idx="9">
                        <c:v>0.32900000000000001</c:v>
                      </c:pt>
                      <c:pt idx="10">
                        <c:v>0.84899999999999998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48D-4A1F-8DD5-A1E5215F685C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Daten!$F$1</c15:sqref>
                        </c15:formulaRef>
                      </c:ext>
                    </c:extLst>
                    <c:strCache>
                      <c:ptCount val="1"/>
                      <c:pt idx="0">
                        <c:v>TP</c:v>
                      </c:pt>
                    </c:strCache>
                  </c:strRef>
                </c:tx>
                <c:spPr>
                  <a:solidFill>
                    <a:schemeClr val="dk1">
                      <a:tint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Daten!$F$2:$F$13</c15:sqref>
                        </c15:fullRef>
                        <c15:formulaRef>
                          <c15:sqref>(Daten!$F$2:$F$7,Daten!$F$9:$F$13)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88</c:v>
                      </c:pt>
                      <c:pt idx="1">
                        <c:v>87</c:v>
                      </c:pt>
                      <c:pt idx="2">
                        <c:v>72</c:v>
                      </c:pt>
                      <c:pt idx="3">
                        <c:v>53</c:v>
                      </c:pt>
                      <c:pt idx="4">
                        <c:v>50</c:v>
                      </c:pt>
                      <c:pt idx="5">
                        <c:v>74</c:v>
                      </c:pt>
                      <c:pt idx="6">
                        <c:v>82</c:v>
                      </c:pt>
                      <c:pt idx="7">
                        <c:v>65</c:v>
                      </c:pt>
                      <c:pt idx="8">
                        <c:v>77</c:v>
                      </c:pt>
                      <c:pt idx="9">
                        <c:v>128</c:v>
                      </c:pt>
                      <c:pt idx="10">
                        <c:v>47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48D-4A1F-8DD5-A1E5215F685C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Daten!$G$1</c15:sqref>
                        </c15:formulaRef>
                      </c:ext>
                    </c:extLst>
                    <c:strCache>
                      <c:ptCount val="1"/>
                      <c:pt idx="0">
                        <c:v>FP</c:v>
                      </c:pt>
                    </c:strCache>
                  </c:strRef>
                </c:tx>
                <c:spPr>
                  <a:solidFill>
                    <a:schemeClr val="dk1">
                      <a:tint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Daten!$G$2:$G$13</c15:sqref>
                        </c15:fullRef>
                        <c15:formulaRef>
                          <c15:sqref>(Daten!$G$2:$G$7,Daten!$G$9:$G$13)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721</c:v>
                      </c:pt>
                      <c:pt idx="1">
                        <c:v>570</c:v>
                      </c:pt>
                      <c:pt idx="2">
                        <c:v>530</c:v>
                      </c:pt>
                      <c:pt idx="3">
                        <c:v>734</c:v>
                      </c:pt>
                      <c:pt idx="4">
                        <c:v>256</c:v>
                      </c:pt>
                      <c:pt idx="5">
                        <c:v>830</c:v>
                      </c:pt>
                      <c:pt idx="6">
                        <c:v>864</c:v>
                      </c:pt>
                      <c:pt idx="7">
                        <c:v>588</c:v>
                      </c:pt>
                      <c:pt idx="8">
                        <c:v>785</c:v>
                      </c:pt>
                      <c:pt idx="9">
                        <c:v>2002</c:v>
                      </c:pt>
                      <c:pt idx="10">
                        <c:v>364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48D-4A1F-8DD5-A1E5215F685C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Daten!$H$1</c15:sqref>
                        </c15:formulaRef>
                      </c:ext>
                    </c:extLst>
                    <c:strCache>
                      <c:ptCount val="1"/>
                      <c:pt idx="0">
                        <c:v>FN</c:v>
                      </c:pt>
                    </c:strCache>
                  </c:strRef>
                </c:tx>
                <c:spPr>
                  <a:solidFill>
                    <a:schemeClr val="dk1">
                      <a:tint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Daten!$H$2:$H$13</c15:sqref>
                        </c15:fullRef>
                        <c15:formulaRef>
                          <c15:sqref>(Daten!$H$2:$H$7,Daten!$H$9:$H$13)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49</c:v>
                      </c:pt>
                      <c:pt idx="1">
                        <c:v>50</c:v>
                      </c:pt>
                      <c:pt idx="2">
                        <c:v>65</c:v>
                      </c:pt>
                      <c:pt idx="3">
                        <c:v>83</c:v>
                      </c:pt>
                      <c:pt idx="4">
                        <c:v>86</c:v>
                      </c:pt>
                      <c:pt idx="5">
                        <c:v>63</c:v>
                      </c:pt>
                      <c:pt idx="6">
                        <c:v>54</c:v>
                      </c:pt>
                      <c:pt idx="7">
                        <c:v>71</c:v>
                      </c:pt>
                      <c:pt idx="8">
                        <c:v>60</c:v>
                      </c:pt>
                      <c:pt idx="9">
                        <c:v>8</c:v>
                      </c:pt>
                      <c:pt idx="10">
                        <c:v>90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48D-4A1F-8DD5-A1E5215F685C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Daten!$I$1</c15:sqref>
                        </c15:formulaRef>
                      </c:ext>
                    </c:extLst>
                    <c:strCache>
                      <c:ptCount val="1"/>
                      <c:pt idx="0">
                        <c:v>TN</c:v>
                      </c:pt>
                    </c:strCache>
                  </c:strRef>
                </c:tx>
                <c:spPr>
                  <a:solidFill>
                    <a:schemeClr val="dk1">
                      <a:tint val="885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Daten!$I$2:$I$13</c15:sqref>
                        </c15:fullRef>
                        <c15:formulaRef>
                          <c15:sqref>(Daten!$I$2:$I$7,Daten!$I$9:$I$13)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2138</c:v>
                      </c:pt>
                      <c:pt idx="1">
                        <c:v>2283</c:v>
                      </c:pt>
                      <c:pt idx="2">
                        <c:v>2331</c:v>
                      </c:pt>
                      <c:pt idx="3">
                        <c:v>2132</c:v>
                      </c:pt>
                      <c:pt idx="4">
                        <c:v>2604</c:v>
                      </c:pt>
                      <c:pt idx="5">
                        <c:v>2031</c:v>
                      </c:pt>
                      <c:pt idx="6">
                        <c:v>1989</c:v>
                      </c:pt>
                      <c:pt idx="7">
                        <c:v>2272</c:v>
                      </c:pt>
                      <c:pt idx="8">
                        <c:v>2080</c:v>
                      </c:pt>
                      <c:pt idx="9">
                        <c:v>857</c:v>
                      </c:pt>
                      <c:pt idx="10">
                        <c:v>2499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C48D-4A1F-8DD5-A1E5215F685C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Daten!$J$1</c15:sqref>
                        </c15:formulaRef>
                      </c:ext>
                    </c:extLst>
                    <c:strCache>
                      <c:ptCount val="1"/>
                      <c:pt idx="0">
                        <c:v>Precision      (Unwirksam)</c:v>
                      </c:pt>
                    </c:strCache>
                  </c:strRef>
                </c:tx>
                <c:spPr>
                  <a:solidFill>
                    <a:schemeClr val="dk1">
                      <a:tint val="5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Daten!$J$2:$J$13</c15:sqref>
                        </c15:fullRef>
                        <c15:formulaRef>
                          <c15:sqref>(Daten!$J$2:$J$7,Daten!$J$9:$J$13)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0.109</c:v>
                      </c:pt>
                      <c:pt idx="1">
                        <c:v>0.13200000000000001</c:v>
                      </c:pt>
                      <c:pt idx="2">
                        <c:v>0.12</c:v>
                      </c:pt>
                      <c:pt idx="3">
                        <c:v>6.7000000000000004E-2</c:v>
                      </c:pt>
                      <c:pt idx="4">
                        <c:v>0.16300000000000001</c:v>
                      </c:pt>
                      <c:pt idx="5">
                        <c:v>8.2000000000000003E-2</c:v>
                      </c:pt>
                      <c:pt idx="6">
                        <c:v>8.6999999999999994E-2</c:v>
                      </c:pt>
                      <c:pt idx="7">
                        <c:v>0.1</c:v>
                      </c:pt>
                      <c:pt idx="8">
                        <c:v>8.8999999999999996E-2</c:v>
                      </c:pt>
                      <c:pt idx="9">
                        <c:v>0.06</c:v>
                      </c:pt>
                      <c:pt idx="10">
                        <c:v>0.114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C48D-4A1F-8DD5-A1E5215F685C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Daten!$K$1</c15:sqref>
                        </c15:formulaRef>
                      </c:ext>
                    </c:extLst>
                    <c:strCache>
                      <c:ptCount val="1"/>
                      <c:pt idx="0">
                        <c:v>Recall      (Unwirksam)</c:v>
                      </c:pt>
                    </c:strCache>
                  </c:strRef>
                </c:tx>
                <c:spPr>
                  <a:solidFill>
                    <a:schemeClr val="dk1">
                      <a:tint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Daten!$K$2:$K$13</c15:sqref>
                        </c15:fullRef>
                        <c15:formulaRef>
                          <c15:sqref>(Daten!$K$2:$K$7,Daten!$K$9:$K$13)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0.64200000000000002</c:v>
                      </c:pt>
                      <c:pt idx="1">
                        <c:v>0.63500000000000001</c:v>
                      </c:pt>
                      <c:pt idx="2">
                        <c:v>0.52600000000000002</c:v>
                      </c:pt>
                      <c:pt idx="3">
                        <c:v>0.39</c:v>
                      </c:pt>
                      <c:pt idx="4">
                        <c:v>0.36799999999999999</c:v>
                      </c:pt>
                      <c:pt idx="5">
                        <c:v>0.54</c:v>
                      </c:pt>
                      <c:pt idx="6">
                        <c:v>0.60299999999999998</c:v>
                      </c:pt>
                      <c:pt idx="7">
                        <c:v>0.47799999999999998</c:v>
                      </c:pt>
                      <c:pt idx="8">
                        <c:v>0.56200000000000006</c:v>
                      </c:pt>
                      <c:pt idx="9">
                        <c:v>0.94099999999999995</c:v>
                      </c:pt>
                      <c:pt idx="10">
                        <c:v>0.34300000000000003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C48D-4A1F-8DD5-A1E5215F685C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Daten!$L$1</c15:sqref>
                        </c15:formulaRef>
                      </c:ext>
                    </c:extLst>
                    <c:strCache>
                      <c:ptCount val="1"/>
                      <c:pt idx="0">
                        <c:v>F1      (Unwirksam)</c:v>
                      </c:pt>
                    </c:strCache>
                  </c:strRef>
                </c:tx>
                <c:spPr>
                  <a:solidFill>
                    <a:schemeClr val="dk1">
                      <a:tint val="985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Daten!$L$2:$L$13</c15:sqref>
                        </c15:fullRef>
                        <c15:formulaRef>
                          <c15:sqref>(Daten!$L$2:$L$7,Daten!$L$9:$L$13)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0.186</c:v>
                      </c:pt>
                      <c:pt idx="1">
                        <c:v>0.219</c:v>
                      </c:pt>
                      <c:pt idx="2">
                        <c:v>0.19500000000000001</c:v>
                      </c:pt>
                      <c:pt idx="3">
                        <c:v>0.115</c:v>
                      </c:pt>
                      <c:pt idx="4">
                        <c:v>0.22600000000000001</c:v>
                      </c:pt>
                      <c:pt idx="5">
                        <c:v>0.14199999999999999</c:v>
                      </c:pt>
                      <c:pt idx="6">
                        <c:v>0.152</c:v>
                      </c:pt>
                      <c:pt idx="7">
                        <c:v>0.16500000000000001</c:v>
                      </c:pt>
                      <c:pt idx="8">
                        <c:v>0.154</c:v>
                      </c:pt>
                      <c:pt idx="9">
                        <c:v>0.113</c:v>
                      </c:pt>
                      <c:pt idx="10">
                        <c:v>0.17199999999999999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C48D-4A1F-8DD5-A1E5215F685C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Daten!$M$1</c15:sqref>
                        </c15:formulaRef>
                      </c:ext>
                    </c:extLst>
                    <c:strCache>
                      <c:ptCount val="1"/>
                      <c:pt idx="0">
                        <c:v>Precision      (Wirksam)</c:v>
                      </c:pt>
                    </c:strCache>
                  </c:strRef>
                </c:tx>
                <c:spPr>
                  <a:solidFill>
                    <a:schemeClr val="dk1">
                      <a:tint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Daten!$M$2:$M$13</c15:sqref>
                        </c15:fullRef>
                        <c15:formulaRef>
                          <c15:sqref>(Daten!$M$2:$M$7,Daten!$M$9:$M$13)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0.97799999999999998</c:v>
                      </c:pt>
                      <c:pt idx="1">
                        <c:v>0.97899999999999998</c:v>
                      </c:pt>
                      <c:pt idx="2">
                        <c:v>0.97299999999999998</c:v>
                      </c:pt>
                      <c:pt idx="3">
                        <c:v>0.96299999999999997</c:v>
                      </c:pt>
                      <c:pt idx="4">
                        <c:v>0.96799999999999997</c:v>
                      </c:pt>
                      <c:pt idx="5">
                        <c:v>0.97</c:v>
                      </c:pt>
                      <c:pt idx="6">
                        <c:v>0.97399999999999998</c:v>
                      </c:pt>
                      <c:pt idx="7">
                        <c:v>0.97</c:v>
                      </c:pt>
                      <c:pt idx="8">
                        <c:v>0.97199999999999998</c:v>
                      </c:pt>
                      <c:pt idx="9">
                        <c:v>0.99099999999999999</c:v>
                      </c:pt>
                      <c:pt idx="10">
                        <c:v>0.96499999999999997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C48D-4A1F-8DD5-A1E5215F685C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Daten!$N$1</c15:sqref>
                        </c15:formulaRef>
                      </c:ext>
                    </c:extLst>
                    <c:strCache>
                      <c:ptCount val="1"/>
                      <c:pt idx="0">
                        <c:v>Recall (Wirksam)</c:v>
                      </c:pt>
                    </c:strCache>
                  </c:strRef>
                </c:tx>
                <c:spPr>
                  <a:solidFill>
                    <a:schemeClr val="dk1">
                      <a:tint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Daten!$N$2:$N$13</c15:sqref>
                        </c15:fullRef>
                        <c15:formulaRef>
                          <c15:sqref>(Daten!$N$2:$N$7,Daten!$N$9:$N$13)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0.748</c:v>
                      </c:pt>
                      <c:pt idx="1">
                        <c:v>0.8</c:v>
                      </c:pt>
                      <c:pt idx="2">
                        <c:v>0.81499999999999995</c:v>
                      </c:pt>
                      <c:pt idx="3">
                        <c:v>0.74399999999999999</c:v>
                      </c:pt>
                      <c:pt idx="4">
                        <c:v>0.91</c:v>
                      </c:pt>
                      <c:pt idx="5">
                        <c:v>0.71</c:v>
                      </c:pt>
                      <c:pt idx="6">
                        <c:v>0.69699999999999995</c:v>
                      </c:pt>
                      <c:pt idx="7">
                        <c:v>0.79400000000000004</c:v>
                      </c:pt>
                      <c:pt idx="8">
                        <c:v>0.72599999999999998</c:v>
                      </c:pt>
                      <c:pt idx="9">
                        <c:v>0.3</c:v>
                      </c:pt>
                      <c:pt idx="10">
                        <c:v>0.873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C48D-4A1F-8DD5-A1E5215F685C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Daten!$O$1</c15:sqref>
                        </c15:formulaRef>
                      </c:ext>
                    </c:extLst>
                    <c:strCache>
                      <c:ptCount val="1"/>
                      <c:pt idx="0">
                        <c:v>F1                           (Wirksam)</c:v>
                      </c:pt>
                    </c:strCache>
                  </c:strRef>
                </c:tx>
                <c:spPr>
                  <a:solidFill>
                    <a:schemeClr val="dk1">
                      <a:tint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Daten!$O$2:$O$13</c15:sqref>
                        </c15:fullRef>
                        <c15:formulaRef>
                          <c15:sqref>(Daten!$O$2:$O$7,Daten!$O$9:$O$13)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0.84699999999999998</c:v>
                      </c:pt>
                      <c:pt idx="1">
                        <c:v>0.88</c:v>
                      </c:pt>
                      <c:pt idx="2">
                        <c:v>0.88700000000000001</c:v>
                      </c:pt>
                      <c:pt idx="3">
                        <c:v>0.83899999999999997</c:v>
                      </c:pt>
                      <c:pt idx="4">
                        <c:v>0.93799999999999994</c:v>
                      </c:pt>
                      <c:pt idx="5">
                        <c:v>0.82</c:v>
                      </c:pt>
                      <c:pt idx="6">
                        <c:v>0.81200000000000006</c:v>
                      </c:pt>
                      <c:pt idx="7">
                        <c:v>0.873</c:v>
                      </c:pt>
                      <c:pt idx="8">
                        <c:v>0.83099999999999996</c:v>
                      </c:pt>
                      <c:pt idx="9">
                        <c:v>0.46</c:v>
                      </c:pt>
                      <c:pt idx="10">
                        <c:v>0.91700000000000004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C48D-4A1F-8DD5-A1E5215F685C}"/>
                  </c:ext>
                </c:extLst>
              </c15:ser>
            </c15:filteredBarSeries>
            <c15:filteredB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Daten!$P$1</c15:sqref>
                        </c15:formulaRef>
                      </c:ext>
                    </c:extLst>
                    <c:strCache>
                      <c:ptCount val="1"/>
                      <c:pt idx="0">
                        <c:v>F1           (macro)</c:v>
                      </c:pt>
                    </c:strCache>
                  </c:strRef>
                </c:tx>
                <c:spPr>
                  <a:solidFill>
                    <a:schemeClr val="dk1">
                      <a:tint val="885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Daten!$P$2:$P$13</c15:sqref>
                        </c15:fullRef>
                        <c15:formulaRef>
                          <c15:sqref>(Daten!$P$2:$P$7,Daten!$P$9:$P$13)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0.51700000000000002</c:v>
                      </c:pt>
                      <c:pt idx="1">
                        <c:v>0.55000000000000004</c:v>
                      </c:pt>
                      <c:pt idx="2">
                        <c:v>0.54100000000000004</c:v>
                      </c:pt>
                      <c:pt idx="3">
                        <c:v>0.47699999999999998</c:v>
                      </c:pt>
                      <c:pt idx="4">
                        <c:v>0.58199999999999996</c:v>
                      </c:pt>
                      <c:pt idx="5">
                        <c:v>0.48099999999999998</c:v>
                      </c:pt>
                      <c:pt idx="6">
                        <c:v>0.48199999999999998</c:v>
                      </c:pt>
                      <c:pt idx="7">
                        <c:v>0.51900000000000002</c:v>
                      </c:pt>
                      <c:pt idx="8">
                        <c:v>0.49299999999999999</c:v>
                      </c:pt>
                      <c:pt idx="9">
                        <c:v>0.28699999999999998</c:v>
                      </c:pt>
                      <c:pt idx="10">
                        <c:v>0.54400000000000004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C48D-4A1F-8DD5-A1E5215F685C}"/>
                  </c:ext>
                </c:extLst>
              </c15:ser>
            </c15:filteredBarSeries>
            <c15:filteredBa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Daten!$Q$1</c15:sqref>
                        </c15:formulaRef>
                      </c:ext>
                    </c:extLst>
                    <c:strCache>
                      <c:ptCount val="1"/>
                      <c:pt idx="0">
                        <c:v>F1                 (weighted)</c:v>
                      </c:pt>
                    </c:strCache>
                  </c:strRef>
                </c:tx>
                <c:spPr>
                  <a:solidFill>
                    <a:schemeClr val="dk1">
                      <a:tint val="5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Daten!$Q$2:$Q$13</c15:sqref>
                        </c15:fullRef>
                        <c15:formulaRef>
                          <c15:sqref>(Daten!$Q$2:$Q$7,Daten!$Q$9:$Q$13)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0.81699999999999995</c:v>
                      </c:pt>
                      <c:pt idx="1">
                        <c:v>0.85</c:v>
                      </c:pt>
                      <c:pt idx="2">
                        <c:v>0.85499999999999998</c:v>
                      </c:pt>
                      <c:pt idx="3">
                        <c:v>0.80600000000000005</c:v>
                      </c:pt>
                      <c:pt idx="4">
                        <c:v>0.90600000000000003</c:v>
                      </c:pt>
                      <c:pt idx="5">
                        <c:v>0.78900000000000003</c:v>
                      </c:pt>
                      <c:pt idx="6">
                        <c:v>0.78200000000000003</c:v>
                      </c:pt>
                      <c:pt idx="7">
                        <c:v>0.84099999999999997</c:v>
                      </c:pt>
                      <c:pt idx="8">
                        <c:v>0.8</c:v>
                      </c:pt>
                      <c:pt idx="9">
                        <c:v>0.44400000000000001</c:v>
                      </c:pt>
                      <c:pt idx="10">
                        <c:v>0.88300000000000001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C48D-4A1F-8DD5-A1E5215F685C}"/>
                  </c:ext>
                </c:extLst>
              </c15:ser>
            </c15:filteredBarSeries>
            <c15:filteredBa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Daten!$R$1</c15:sqref>
                        </c15:formulaRef>
                      </c:ext>
                    </c:extLst>
                    <c:strCache>
                      <c:ptCount val="1"/>
                      <c:pt idx="0">
                        <c:v>Precision       Macro</c:v>
                      </c:pt>
                    </c:strCache>
                  </c:strRef>
                </c:tx>
                <c:spPr>
                  <a:solidFill>
                    <a:schemeClr val="dk1">
                      <a:tint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Daten!$R$2:$R$13</c15:sqref>
                        </c15:fullRef>
                        <c15:formulaRef>
                          <c15:sqref>(Daten!$R$2:$R$7,Daten!$R$9:$R$13)</c15:sqref>
                        </c15:formulaRef>
                      </c:ext>
                    </c:extLst>
                    <c:numCache>
                      <c:formatCode>0.000</c:formatCode>
                      <c:ptCount val="11"/>
                      <c:pt idx="0">
                        <c:v>0.54349999999999998</c:v>
                      </c:pt>
                      <c:pt idx="1">
                        <c:v>0.55549999999999999</c:v>
                      </c:pt>
                      <c:pt idx="2">
                        <c:v>0.54649999999999999</c:v>
                      </c:pt>
                      <c:pt idx="3">
                        <c:v>0.51500000000000001</c:v>
                      </c:pt>
                      <c:pt idx="4">
                        <c:v>0.5655</c:v>
                      </c:pt>
                      <c:pt idx="5">
                        <c:v>0.52600000000000002</c:v>
                      </c:pt>
                      <c:pt idx="6">
                        <c:v>0.53049999999999997</c:v>
                      </c:pt>
                      <c:pt idx="7">
                        <c:v>0.53500000000000003</c:v>
                      </c:pt>
                      <c:pt idx="8">
                        <c:v>0.53049999999999997</c:v>
                      </c:pt>
                      <c:pt idx="9">
                        <c:v>0.52549999999999997</c:v>
                      </c:pt>
                      <c:pt idx="10">
                        <c:v>0.53949999999999998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C48D-4A1F-8DD5-A1E5215F685C}"/>
                  </c:ext>
                </c:extLst>
              </c15:ser>
            </c15:filteredBarSeries>
            <c15:filteredBa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Daten!$S$1</c15:sqref>
                        </c15:formulaRef>
                      </c:ext>
                    </c:extLst>
                    <c:strCache>
                      <c:ptCount val="1"/>
                      <c:pt idx="0">
                        <c:v> Prec                 Micro</c:v>
                      </c:pt>
                    </c:strCache>
                  </c:strRef>
                </c:tx>
                <c:spPr>
                  <a:solidFill>
                    <a:schemeClr val="dk1">
                      <a:tint val="985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Daten!$S$2:$S$13</c15:sqref>
                        </c15:fullRef>
                        <c15:formulaRef>
                          <c15:sqref>(Daten!$S$2:$S$7,Daten!$S$9:$S$13)</c15:sqref>
                        </c15:formulaRef>
                      </c:ext>
                    </c:extLst>
                    <c:numCache>
                      <c:formatCode>0.000</c:formatCode>
                      <c:ptCount val="11"/>
                      <c:pt idx="0">
                        <c:v>0.10877626699629171</c:v>
                      </c:pt>
                      <c:pt idx="1">
                        <c:v>0.13242009132420091</c:v>
                      </c:pt>
                      <c:pt idx="2">
                        <c:v>0.11960132890365449</c:v>
                      </c:pt>
                      <c:pt idx="3">
                        <c:v>6.734434561626429E-2</c:v>
                      </c:pt>
                      <c:pt idx="4">
                        <c:v>0.16339869281045752</c:v>
                      </c:pt>
                      <c:pt idx="5">
                        <c:v>8.185840707964602E-2</c:v>
                      </c:pt>
                      <c:pt idx="6">
                        <c:v>8.6680761099365747E-2</c:v>
                      </c:pt>
                      <c:pt idx="7">
                        <c:v>9.9540581929555894E-2</c:v>
                      </c:pt>
                      <c:pt idx="8">
                        <c:v>8.9327146171693739E-2</c:v>
                      </c:pt>
                      <c:pt idx="9">
                        <c:v>6.0093896713615022E-2</c:v>
                      </c:pt>
                      <c:pt idx="10">
                        <c:v>0.11435523114355231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C48D-4A1F-8DD5-A1E5215F685C}"/>
                  </c:ext>
                </c:extLst>
              </c15:ser>
            </c15:filteredBarSeries>
            <c15:filteredBa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Daten!$T$1</c15:sqref>
                        </c15:formulaRef>
                      </c:ext>
                    </c:extLst>
                    <c:strCache>
                      <c:ptCount val="1"/>
                      <c:pt idx="0">
                        <c:v>Recall</c:v>
                      </c:pt>
                    </c:strCache>
                  </c:strRef>
                </c:tx>
                <c:spPr>
                  <a:solidFill>
                    <a:schemeClr val="dk1">
                      <a:tint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Daten!$T$2:$T$13</c15:sqref>
                        </c15:fullRef>
                        <c15:formulaRef>
                          <c15:sqref>(Daten!$T$2:$T$7,Daten!$T$9:$T$13)</c15:sqref>
                        </c15:formulaRef>
                      </c:ext>
                    </c:extLst>
                    <c:numCache>
                      <c:formatCode>0.000</c:formatCode>
                      <c:ptCount val="11"/>
                      <c:pt idx="0">
                        <c:v>0.64233576642335766</c:v>
                      </c:pt>
                      <c:pt idx="1">
                        <c:v>0.63503649635036497</c:v>
                      </c:pt>
                      <c:pt idx="2">
                        <c:v>0.52554744525547448</c:v>
                      </c:pt>
                      <c:pt idx="3">
                        <c:v>0.38970588235294118</c:v>
                      </c:pt>
                      <c:pt idx="4">
                        <c:v>0.36764705882352944</c:v>
                      </c:pt>
                      <c:pt idx="5">
                        <c:v>0.54014598540145986</c:v>
                      </c:pt>
                      <c:pt idx="6">
                        <c:v>0.6029411764705882</c:v>
                      </c:pt>
                      <c:pt idx="7">
                        <c:v>0.47794117647058826</c:v>
                      </c:pt>
                      <c:pt idx="8">
                        <c:v>0.56204379562043794</c:v>
                      </c:pt>
                      <c:pt idx="9">
                        <c:v>0.94117647058823528</c:v>
                      </c:pt>
                      <c:pt idx="10">
                        <c:v>0.34306569343065696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C48D-4A1F-8DD5-A1E5215F685C}"/>
                  </c:ext>
                </c:extLst>
              </c15:ser>
            </c15:filteredBarSeries>
            <c15:filteredBa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Daten!$V$1</c15:sqref>
                        </c15:formulaRef>
                      </c:ext>
                    </c:extLst>
                    <c:strCache>
                      <c:ptCount val="1"/>
                      <c:pt idx="0">
                        <c:v>F1</c:v>
                      </c:pt>
                    </c:strCache>
                  </c:strRef>
                </c:tx>
                <c:spPr>
                  <a:solidFill>
                    <a:schemeClr val="dk1">
                      <a:tint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Daten!$V$2:$V$13</c15:sqref>
                        </c15:fullRef>
                        <c15:formulaRef>
                          <c15:sqref>(Daten!$V$2:$V$7,Daten!$V$9:$V$13)</c15:sqref>
                        </c15:formulaRef>
                      </c:ext>
                    </c:extLst>
                    <c:numCache>
                      <c:formatCode>0.000</c:formatCode>
                      <c:ptCount val="11"/>
                      <c:pt idx="0">
                        <c:v>0.18604651162790695</c:v>
                      </c:pt>
                      <c:pt idx="1">
                        <c:v>0.21914357682619648</c:v>
                      </c:pt>
                      <c:pt idx="2">
                        <c:v>0.19485791610284167</c:v>
                      </c:pt>
                      <c:pt idx="3">
                        <c:v>0.11484290357529793</c:v>
                      </c:pt>
                      <c:pt idx="4">
                        <c:v>0.22624434389140272</c:v>
                      </c:pt>
                      <c:pt idx="5">
                        <c:v>0.14217098943323728</c:v>
                      </c:pt>
                      <c:pt idx="6">
                        <c:v>0.15157116451016636</c:v>
                      </c:pt>
                      <c:pt idx="7">
                        <c:v>0.16476552598225602</c:v>
                      </c:pt>
                      <c:pt idx="8">
                        <c:v>0.15415415415415418</c:v>
                      </c:pt>
                      <c:pt idx="9">
                        <c:v>0.11297440423654015</c:v>
                      </c:pt>
                      <c:pt idx="10">
                        <c:v>0.17153284671532848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C48D-4A1F-8DD5-A1E5215F685C}"/>
                  </c:ext>
                </c:extLst>
              </c15:ser>
            </c15:filteredBarSeries>
          </c:ext>
        </c:extLst>
      </c:barChart>
      <c:catAx>
        <c:axId val="110115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01152736"/>
        <c:crosses val="autoZero"/>
        <c:auto val="1"/>
        <c:lblAlgn val="ctr"/>
        <c:lblOffset val="100"/>
        <c:noMultiLvlLbl val="0"/>
      </c:catAx>
      <c:valAx>
        <c:axId val="110115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01157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Precision</a:t>
            </a:r>
            <a:r>
              <a:rPr lang="de-DE" baseline="0"/>
              <a:t> </a:t>
            </a:r>
            <a:r>
              <a:rPr lang="de-DE"/>
              <a:t>unwirksam </a:t>
            </a:r>
          </a:p>
          <a:p>
            <a:pPr>
              <a:defRPr/>
            </a:pPr>
            <a:r>
              <a:rPr lang="de-DE"/>
              <a:t>(Reasoning Models)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8"/>
          <c:order val="8"/>
          <c:tx>
            <c:strRef>
              <c:f>Daten!$J$1</c:f>
              <c:strCache>
                <c:ptCount val="1"/>
                <c:pt idx="0">
                  <c:v>Precision      (Unwirksam)</c:v>
                </c:pt>
              </c:strCache>
              <c:extLst xmlns:c15="http://schemas.microsoft.com/office/drawing/2012/chart"/>
            </c:strRef>
          </c:tx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Daten!$A$2:$A$13</c15:sqref>
                  </c15:fullRef>
                </c:ext>
              </c:extLst>
              <c:f>(Daten!$A$2,Daten!$A$6:$A$7)</c:f>
              <c:strCache>
                <c:ptCount val="3"/>
                <c:pt idx="0">
                  <c:v>Grok-3</c:v>
                </c:pt>
                <c:pt idx="1">
                  <c:v>GPT o4-mini</c:v>
                </c:pt>
                <c:pt idx="2">
                  <c:v>DeepseekR1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Daten!$J$2:$J$13</c15:sqref>
                  </c15:fullRef>
                </c:ext>
              </c:extLst>
              <c:f>(Daten!$J$2,Daten!$J$6:$J$7)</c:f>
              <c:numCache>
                <c:formatCode>General</c:formatCode>
                <c:ptCount val="3"/>
                <c:pt idx="0">
                  <c:v>0.109</c:v>
                </c:pt>
                <c:pt idx="1">
                  <c:v>0.16300000000000001</c:v>
                </c:pt>
                <c:pt idx="2">
                  <c:v>8.2000000000000003E-2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7F-41E6-A966-658ADBE3E2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1157056"/>
        <c:axId val="110115273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Daten!$B$1</c15:sqref>
                        </c15:formulaRef>
                      </c:ext>
                    </c:extLst>
                    <c:strCache>
                      <c:ptCount val="1"/>
                      <c:pt idx="0">
                        <c:v>Gesamtanzahl</c:v>
                      </c:pt>
                    </c:strCache>
                  </c:strRef>
                </c:tx>
                <c:spPr>
                  <a:solidFill>
                    <a:schemeClr val="dk1">
                      <a:tint val="885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Daten!$A$2:$A$13</c15:sqref>
                        </c15:fullRef>
                        <c15:formulaRef>
                          <c15:sqref>(Daten!$A$2,Daten!$A$6:$A$7)</c15:sqref>
                        </c15:formulaRef>
                      </c:ext>
                    </c:extLst>
                    <c:strCache>
                      <c:ptCount val="3"/>
                      <c:pt idx="0">
                        <c:v>Grok-3</c:v>
                      </c:pt>
                      <c:pt idx="1">
                        <c:v>GPT o4-mini</c:v>
                      </c:pt>
                      <c:pt idx="2">
                        <c:v>DeepseekR1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Daten!$B$2:$B$13</c15:sqref>
                        </c15:fullRef>
                        <c15:formulaRef>
                          <c15:sqref>(Daten!$B$2,Daten!$B$6:$B$7)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3004</c:v>
                      </c:pt>
                      <c:pt idx="1">
                        <c:v>3004</c:v>
                      </c:pt>
                      <c:pt idx="2">
                        <c:v>3004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FA7F-41E6-A966-658ADBE3E224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Daten!$C$1</c15:sqref>
                        </c15:formulaRef>
                      </c:ext>
                    </c:extLst>
                    <c:strCache>
                      <c:ptCount val="1"/>
                      <c:pt idx="0">
                        <c:v>Anzahl_Klassifikationen</c:v>
                      </c:pt>
                    </c:strCache>
                  </c:strRef>
                </c:tx>
                <c:spPr>
                  <a:solidFill>
                    <a:schemeClr val="dk1">
                      <a:tint val="5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(Daten!$A$2,Daten!$A$6:$A$7)</c15:sqref>
                        </c15:formulaRef>
                      </c:ext>
                    </c:extLst>
                    <c:strCache>
                      <c:ptCount val="3"/>
                      <c:pt idx="0">
                        <c:v>Grok-3</c:v>
                      </c:pt>
                      <c:pt idx="1">
                        <c:v>GPT o4-mini</c:v>
                      </c:pt>
                      <c:pt idx="2">
                        <c:v>DeepseekR1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Daten!$C$2:$C$13</c15:sqref>
                        </c15:fullRef>
                        <c15:formulaRef>
                          <c15:sqref>(Daten!$C$2,Daten!$C$6:$C$7)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2996</c:v>
                      </c:pt>
                      <c:pt idx="1">
                        <c:v>2996</c:v>
                      </c:pt>
                      <c:pt idx="2">
                        <c:v>2998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A7F-41E6-A966-658ADBE3E2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Daten!$D$1</c15:sqref>
                        </c15:formulaRef>
                      </c:ext>
                    </c:extLst>
                    <c:strCache>
                      <c:ptCount val="1"/>
                      <c:pt idx="0">
                        <c:v>Fehlende ('-'/NaN/leer)</c:v>
                      </c:pt>
                    </c:strCache>
                  </c:strRef>
                </c:tx>
                <c:spPr>
                  <a:solidFill>
                    <a:schemeClr val="dk1">
                      <a:tint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(Daten!$A$2,Daten!$A$6:$A$7)</c15:sqref>
                        </c15:formulaRef>
                      </c:ext>
                    </c:extLst>
                    <c:strCache>
                      <c:ptCount val="3"/>
                      <c:pt idx="0">
                        <c:v>Grok-3</c:v>
                      </c:pt>
                      <c:pt idx="1">
                        <c:v>GPT o4-mini</c:v>
                      </c:pt>
                      <c:pt idx="2">
                        <c:v>DeepseekR1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Daten!$D$2:$D$13</c15:sqref>
                        </c15:fullRef>
                        <c15:formulaRef>
                          <c15:sqref>(Daten!$D$2,Daten!$D$6:$D$7)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8</c:v>
                      </c:pt>
                      <c:pt idx="1">
                        <c:v>8</c:v>
                      </c:pt>
                      <c:pt idx="2">
                        <c:v>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A7F-41E6-A966-658ADBE3E224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Daten!$E$1</c15:sqref>
                        </c15:formulaRef>
                      </c:ext>
                    </c:extLst>
                    <c:strCache>
                      <c:ptCount val="1"/>
                      <c:pt idx="0">
                        <c:v>Accuracy (bereinigt)</c:v>
                      </c:pt>
                    </c:strCache>
                  </c:strRef>
                </c:tx>
                <c:spPr>
                  <a:solidFill>
                    <a:schemeClr val="dk1">
                      <a:tint val="985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(Daten!$A$2,Daten!$A$6:$A$7)</c15:sqref>
                        </c15:formulaRef>
                      </c:ext>
                    </c:extLst>
                    <c:strCache>
                      <c:ptCount val="3"/>
                      <c:pt idx="0">
                        <c:v>Grok-3</c:v>
                      </c:pt>
                      <c:pt idx="1">
                        <c:v>GPT o4-mini</c:v>
                      </c:pt>
                      <c:pt idx="2">
                        <c:v>DeepseekR1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Daten!$E$2:$E$13</c15:sqref>
                        </c15:fullRef>
                        <c15:formulaRef>
                          <c15:sqref>(Daten!$E$2,Daten!$E$6:$E$7)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0.74299999999999999</c:v>
                      </c:pt>
                      <c:pt idx="1">
                        <c:v>0.88600000000000001</c:v>
                      </c:pt>
                      <c:pt idx="2">
                        <c:v>0.70199999999999996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A7F-41E6-A966-658ADBE3E224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Daten!$F$1</c15:sqref>
                        </c15:formulaRef>
                      </c:ext>
                    </c:extLst>
                    <c:strCache>
                      <c:ptCount val="1"/>
                      <c:pt idx="0">
                        <c:v>TP</c:v>
                      </c:pt>
                    </c:strCache>
                  </c:strRef>
                </c:tx>
                <c:spPr>
                  <a:solidFill>
                    <a:schemeClr val="dk1">
                      <a:tint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(Daten!$A$2,Daten!$A$6:$A$7)</c15:sqref>
                        </c15:formulaRef>
                      </c:ext>
                    </c:extLst>
                    <c:strCache>
                      <c:ptCount val="3"/>
                      <c:pt idx="0">
                        <c:v>Grok-3</c:v>
                      </c:pt>
                      <c:pt idx="1">
                        <c:v>GPT o4-mini</c:v>
                      </c:pt>
                      <c:pt idx="2">
                        <c:v>DeepseekR1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Daten!$F$2:$F$13</c15:sqref>
                        </c15:fullRef>
                        <c15:formulaRef>
                          <c15:sqref>(Daten!$F$2,Daten!$F$6:$F$7)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88</c:v>
                      </c:pt>
                      <c:pt idx="1">
                        <c:v>50</c:v>
                      </c:pt>
                      <c:pt idx="2">
                        <c:v>74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A7F-41E6-A966-658ADBE3E224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Daten!$G$1</c15:sqref>
                        </c15:formulaRef>
                      </c:ext>
                    </c:extLst>
                    <c:strCache>
                      <c:ptCount val="1"/>
                      <c:pt idx="0">
                        <c:v>FP</c:v>
                      </c:pt>
                    </c:strCache>
                  </c:strRef>
                </c:tx>
                <c:spPr>
                  <a:solidFill>
                    <a:schemeClr val="dk1">
                      <a:tint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(Daten!$A$2,Daten!$A$6:$A$7)</c15:sqref>
                        </c15:formulaRef>
                      </c:ext>
                    </c:extLst>
                    <c:strCache>
                      <c:ptCount val="3"/>
                      <c:pt idx="0">
                        <c:v>Grok-3</c:v>
                      </c:pt>
                      <c:pt idx="1">
                        <c:v>GPT o4-mini</c:v>
                      </c:pt>
                      <c:pt idx="2">
                        <c:v>DeepseekR1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Daten!$G$2:$G$13</c15:sqref>
                        </c15:fullRef>
                        <c15:formulaRef>
                          <c15:sqref>(Daten!$G$2,Daten!$G$6:$G$7)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721</c:v>
                      </c:pt>
                      <c:pt idx="1">
                        <c:v>256</c:v>
                      </c:pt>
                      <c:pt idx="2">
                        <c:v>830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FA7F-41E6-A966-658ADBE3E224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Daten!$H$1</c15:sqref>
                        </c15:formulaRef>
                      </c:ext>
                    </c:extLst>
                    <c:strCache>
                      <c:ptCount val="1"/>
                      <c:pt idx="0">
                        <c:v>FN</c:v>
                      </c:pt>
                    </c:strCache>
                  </c:strRef>
                </c:tx>
                <c:spPr>
                  <a:solidFill>
                    <a:schemeClr val="dk1">
                      <a:tint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(Daten!$A$2,Daten!$A$6:$A$7)</c15:sqref>
                        </c15:formulaRef>
                      </c:ext>
                    </c:extLst>
                    <c:strCache>
                      <c:ptCount val="3"/>
                      <c:pt idx="0">
                        <c:v>Grok-3</c:v>
                      </c:pt>
                      <c:pt idx="1">
                        <c:v>GPT o4-mini</c:v>
                      </c:pt>
                      <c:pt idx="2">
                        <c:v>DeepseekR1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Daten!$H$2:$H$13</c15:sqref>
                        </c15:fullRef>
                        <c15:formulaRef>
                          <c15:sqref>(Daten!$H$2,Daten!$H$6:$H$7)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49</c:v>
                      </c:pt>
                      <c:pt idx="1">
                        <c:v>86</c:v>
                      </c:pt>
                      <c:pt idx="2">
                        <c:v>63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A7F-41E6-A966-658ADBE3E224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Daten!$I$1</c15:sqref>
                        </c15:formulaRef>
                      </c:ext>
                    </c:extLst>
                    <c:strCache>
                      <c:ptCount val="1"/>
                      <c:pt idx="0">
                        <c:v>TN</c:v>
                      </c:pt>
                    </c:strCache>
                  </c:strRef>
                </c:tx>
                <c:spPr>
                  <a:solidFill>
                    <a:schemeClr val="dk1">
                      <a:tint val="885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(Daten!$A$2,Daten!$A$6:$A$7)</c15:sqref>
                        </c15:formulaRef>
                      </c:ext>
                    </c:extLst>
                    <c:strCache>
                      <c:ptCount val="3"/>
                      <c:pt idx="0">
                        <c:v>Grok-3</c:v>
                      </c:pt>
                      <c:pt idx="1">
                        <c:v>GPT o4-mini</c:v>
                      </c:pt>
                      <c:pt idx="2">
                        <c:v>DeepseekR1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Daten!$I$2:$I$13</c15:sqref>
                        </c15:fullRef>
                        <c15:formulaRef>
                          <c15:sqref>(Daten!$I$2,Daten!$I$6:$I$7)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2138</c:v>
                      </c:pt>
                      <c:pt idx="1">
                        <c:v>2604</c:v>
                      </c:pt>
                      <c:pt idx="2">
                        <c:v>2031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FA7F-41E6-A966-658ADBE3E224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Daten!$K$1</c15:sqref>
                        </c15:formulaRef>
                      </c:ext>
                    </c:extLst>
                    <c:strCache>
                      <c:ptCount val="1"/>
                      <c:pt idx="0">
                        <c:v>Recall      (Unwirksam)</c:v>
                      </c:pt>
                    </c:strCache>
                  </c:strRef>
                </c:tx>
                <c:spPr>
                  <a:solidFill>
                    <a:schemeClr val="dk1">
                      <a:tint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(Daten!$A$2,Daten!$A$6:$A$7)</c15:sqref>
                        </c15:formulaRef>
                      </c:ext>
                    </c:extLst>
                    <c:strCache>
                      <c:ptCount val="3"/>
                      <c:pt idx="0">
                        <c:v>Grok-3</c:v>
                      </c:pt>
                      <c:pt idx="1">
                        <c:v>GPT o4-mini</c:v>
                      </c:pt>
                      <c:pt idx="2">
                        <c:v>DeepseekR1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Daten!$K$2:$K$13</c15:sqref>
                        </c15:fullRef>
                        <c15:formulaRef>
                          <c15:sqref>(Daten!$K$2,Daten!$K$6:$K$7)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0.64200000000000002</c:v>
                      </c:pt>
                      <c:pt idx="1">
                        <c:v>0.36799999999999999</c:v>
                      </c:pt>
                      <c:pt idx="2">
                        <c:v>0.54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FA7F-41E6-A966-658ADBE3E224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Daten!$L$1</c15:sqref>
                        </c15:formulaRef>
                      </c:ext>
                    </c:extLst>
                    <c:strCache>
                      <c:ptCount val="1"/>
                      <c:pt idx="0">
                        <c:v>F1      (Unwirksam)</c:v>
                      </c:pt>
                    </c:strCache>
                  </c:strRef>
                </c:tx>
                <c:spPr>
                  <a:solidFill>
                    <a:schemeClr val="dk1">
                      <a:tint val="985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(Daten!$A$2,Daten!$A$6:$A$7)</c15:sqref>
                        </c15:formulaRef>
                      </c:ext>
                    </c:extLst>
                    <c:strCache>
                      <c:ptCount val="3"/>
                      <c:pt idx="0">
                        <c:v>Grok-3</c:v>
                      </c:pt>
                      <c:pt idx="1">
                        <c:v>GPT o4-mini</c:v>
                      </c:pt>
                      <c:pt idx="2">
                        <c:v>DeepseekR1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Daten!$L$2:$L$13</c15:sqref>
                        </c15:fullRef>
                        <c15:formulaRef>
                          <c15:sqref>(Daten!$L$2,Daten!$L$6:$L$7)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0.186</c:v>
                      </c:pt>
                      <c:pt idx="1">
                        <c:v>0.22600000000000001</c:v>
                      </c:pt>
                      <c:pt idx="2">
                        <c:v>0.14199999999999999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FA7F-41E6-A966-658ADBE3E224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Daten!$M$1</c15:sqref>
                        </c15:formulaRef>
                      </c:ext>
                    </c:extLst>
                    <c:strCache>
                      <c:ptCount val="1"/>
                      <c:pt idx="0">
                        <c:v>Precision      (Wirksam)</c:v>
                      </c:pt>
                    </c:strCache>
                  </c:strRef>
                </c:tx>
                <c:spPr>
                  <a:solidFill>
                    <a:schemeClr val="dk1">
                      <a:tint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(Daten!$A$2,Daten!$A$6:$A$7)</c15:sqref>
                        </c15:formulaRef>
                      </c:ext>
                    </c:extLst>
                    <c:strCache>
                      <c:ptCount val="3"/>
                      <c:pt idx="0">
                        <c:v>Grok-3</c:v>
                      </c:pt>
                      <c:pt idx="1">
                        <c:v>GPT o4-mini</c:v>
                      </c:pt>
                      <c:pt idx="2">
                        <c:v>DeepseekR1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Daten!$M$2:$M$13</c15:sqref>
                        </c15:fullRef>
                        <c15:formulaRef>
                          <c15:sqref>(Daten!$M$2,Daten!$M$6:$M$7)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0.97799999999999998</c:v>
                      </c:pt>
                      <c:pt idx="1">
                        <c:v>0.96799999999999997</c:v>
                      </c:pt>
                      <c:pt idx="2">
                        <c:v>0.97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FA7F-41E6-A966-658ADBE3E224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Daten!$N$1</c15:sqref>
                        </c15:formulaRef>
                      </c:ext>
                    </c:extLst>
                    <c:strCache>
                      <c:ptCount val="1"/>
                      <c:pt idx="0">
                        <c:v>Recall (Wirksam)</c:v>
                      </c:pt>
                    </c:strCache>
                  </c:strRef>
                </c:tx>
                <c:spPr>
                  <a:solidFill>
                    <a:schemeClr val="dk1">
                      <a:tint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(Daten!$A$2,Daten!$A$6:$A$7)</c15:sqref>
                        </c15:formulaRef>
                      </c:ext>
                    </c:extLst>
                    <c:strCache>
                      <c:ptCount val="3"/>
                      <c:pt idx="0">
                        <c:v>Grok-3</c:v>
                      </c:pt>
                      <c:pt idx="1">
                        <c:v>GPT o4-mini</c:v>
                      </c:pt>
                      <c:pt idx="2">
                        <c:v>DeepseekR1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Daten!$N$2:$N$13</c15:sqref>
                        </c15:fullRef>
                        <c15:formulaRef>
                          <c15:sqref>(Daten!$N$2,Daten!$N$6:$N$7)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0.748</c:v>
                      </c:pt>
                      <c:pt idx="1">
                        <c:v>0.91</c:v>
                      </c:pt>
                      <c:pt idx="2">
                        <c:v>0.71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FA7F-41E6-A966-658ADBE3E224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Daten!$O$1</c15:sqref>
                        </c15:formulaRef>
                      </c:ext>
                    </c:extLst>
                    <c:strCache>
                      <c:ptCount val="1"/>
                      <c:pt idx="0">
                        <c:v>F1                           (Wirksam)</c:v>
                      </c:pt>
                    </c:strCache>
                  </c:strRef>
                </c:tx>
                <c:spPr>
                  <a:solidFill>
                    <a:schemeClr val="dk1">
                      <a:tint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(Daten!$A$2,Daten!$A$6:$A$7)</c15:sqref>
                        </c15:formulaRef>
                      </c:ext>
                    </c:extLst>
                    <c:strCache>
                      <c:ptCount val="3"/>
                      <c:pt idx="0">
                        <c:v>Grok-3</c:v>
                      </c:pt>
                      <c:pt idx="1">
                        <c:v>GPT o4-mini</c:v>
                      </c:pt>
                      <c:pt idx="2">
                        <c:v>DeepseekR1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Daten!$O$2:$O$13</c15:sqref>
                        </c15:fullRef>
                        <c15:formulaRef>
                          <c15:sqref>(Daten!$O$2,Daten!$O$6:$O$7)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0.84699999999999998</c:v>
                      </c:pt>
                      <c:pt idx="1">
                        <c:v>0.93799999999999994</c:v>
                      </c:pt>
                      <c:pt idx="2">
                        <c:v>0.82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FA7F-41E6-A966-658ADBE3E224}"/>
                  </c:ext>
                </c:extLst>
              </c15:ser>
            </c15:filteredBarSeries>
            <c15:filteredB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Daten!$P$1</c15:sqref>
                        </c15:formulaRef>
                      </c:ext>
                    </c:extLst>
                    <c:strCache>
                      <c:ptCount val="1"/>
                      <c:pt idx="0">
                        <c:v>F1           (macro)</c:v>
                      </c:pt>
                    </c:strCache>
                  </c:strRef>
                </c:tx>
                <c:spPr>
                  <a:solidFill>
                    <a:schemeClr val="dk1">
                      <a:tint val="885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(Daten!$A$2,Daten!$A$6:$A$7)</c15:sqref>
                        </c15:formulaRef>
                      </c:ext>
                    </c:extLst>
                    <c:strCache>
                      <c:ptCount val="3"/>
                      <c:pt idx="0">
                        <c:v>Grok-3</c:v>
                      </c:pt>
                      <c:pt idx="1">
                        <c:v>GPT o4-mini</c:v>
                      </c:pt>
                      <c:pt idx="2">
                        <c:v>DeepseekR1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Daten!$P$2:$P$13</c15:sqref>
                        </c15:fullRef>
                        <c15:formulaRef>
                          <c15:sqref>(Daten!$P$2,Daten!$P$6:$P$7)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0.51700000000000002</c:v>
                      </c:pt>
                      <c:pt idx="1">
                        <c:v>0.58199999999999996</c:v>
                      </c:pt>
                      <c:pt idx="2">
                        <c:v>0.48099999999999998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FA7F-41E6-A966-658ADBE3E224}"/>
                  </c:ext>
                </c:extLst>
              </c15:ser>
            </c15:filteredBarSeries>
            <c15:filteredBa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Daten!$Q$1</c15:sqref>
                        </c15:formulaRef>
                      </c:ext>
                    </c:extLst>
                    <c:strCache>
                      <c:ptCount val="1"/>
                      <c:pt idx="0">
                        <c:v>F1                 (weighted)</c:v>
                      </c:pt>
                    </c:strCache>
                  </c:strRef>
                </c:tx>
                <c:spPr>
                  <a:solidFill>
                    <a:schemeClr val="dk1">
                      <a:tint val="5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(Daten!$A$2,Daten!$A$6:$A$7)</c15:sqref>
                        </c15:formulaRef>
                      </c:ext>
                    </c:extLst>
                    <c:strCache>
                      <c:ptCount val="3"/>
                      <c:pt idx="0">
                        <c:v>Grok-3</c:v>
                      </c:pt>
                      <c:pt idx="1">
                        <c:v>GPT o4-mini</c:v>
                      </c:pt>
                      <c:pt idx="2">
                        <c:v>DeepseekR1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Daten!$Q$2:$Q$13</c15:sqref>
                        </c15:fullRef>
                        <c15:formulaRef>
                          <c15:sqref>(Daten!$Q$2,Daten!$Q$6:$Q$7)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0.81699999999999995</c:v>
                      </c:pt>
                      <c:pt idx="1">
                        <c:v>0.90600000000000003</c:v>
                      </c:pt>
                      <c:pt idx="2">
                        <c:v>0.78900000000000003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FA7F-41E6-A966-658ADBE3E224}"/>
                  </c:ext>
                </c:extLst>
              </c15:ser>
            </c15:filteredBarSeries>
          </c:ext>
        </c:extLst>
      </c:barChart>
      <c:catAx>
        <c:axId val="110115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01152736"/>
        <c:crosses val="autoZero"/>
        <c:auto val="1"/>
        <c:lblAlgn val="ctr"/>
        <c:lblOffset val="100"/>
        <c:noMultiLvlLbl val="0"/>
      </c:catAx>
      <c:valAx>
        <c:axId val="110115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01157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Precision</a:t>
            </a:r>
            <a:r>
              <a:rPr lang="de-DE" baseline="0"/>
              <a:t> </a:t>
            </a:r>
            <a:r>
              <a:rPr lang="de-DE"/>
              <a:t>unwirksam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8"/>
          <c:order val="8"/>
          <c:tx>
            <c:strRef>
              <c:f>Daten!$J$1</c:f>
              <c:strCache>
                <c:ptCount val="1"/>
                <c:pt idx="0">
                  <c:v>Precision      (Unwirksam)</c:v>
                </c:pt>
              </c:strCache>
              <c:extLst xmlns:c15="http://schemas.microsoft.com/office/drawing/2012/chart"/>
            </c:strRef>
          </c:tx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Daten!$A$2:$A$13</c15:sqref>
                  </c15:fullRef>
                </c:ext>
              </c:extLst>
              <c:f>(Daten!$A$3:$A$5,Daten!$A$9:$A$13)</c:f>
              <c:strCache>
                <c:ptCount val="8"/>
                <c:pt idx="0">
                  <c:v>GPT5</c:v>
                </c:pt>
                <c:pt idx="1">
                  <c:v>GPT4</c:v>
                </c:pt>
                <c:pt idx="2">
                  <c:v>OSS120B</c:v>
                </c:pt>
                <c:pt idx="3">
                  <c:v>Gemma27B</c:v>
                </c:pt>
                <c:pt idx="4">
                  <c:v>Mistral8B</c:v>
                </c:pt>
                <c:pt idx="5">
                  <c:v>LLama38B</c:v>
                </c:pt>
                <c:pt idx="6">
                  <c:v>Llama3DiscoLeo8B</c:v>
                </c:pt>
                <c:pt idx="7">
                  <c:v>GeminiFlashLite2.5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Daten!$J$2:$J$13</c15:sqref>
                  </c15:fullRef>
                </c:ext>
              </c:extLst>
              <c:f>(Daten!$J$3:$J$5,Daten!$J$9:$J$13)</c:f>
              <c:numCache>
                <c:formatCode>General</c:formatCode>
                <c:ptCount val="8"/>
                <c:pt idx="0">
                  <c:v>0.13200000000000001</c:v>
                </c:pt>
                <c:pt idx="1">
                  <c:v>0.12</c:v>
                </c:pt>
                <c:pt idx="2">
                  <c:v>6.7000000000000004E-2</c:v>
                </c:pt>
                <c:pt idx="3">
                  <c:v>8.6999999999999994E-2</c:v>
                </c:pt>
                <c:pt idx="4">
                  <c:v>0.1</c:v>
                </c:pt>
                <c:pt idx="5">
                  <c:v>8.8999999999999996E-2</c:v>
                </c:pt>
                <c:pt idx="6">
                  <c:v>0.06</c:v>
                </c:pt>
                <c:pt idx="7">
                  <c:v>0.114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36-4502-AF6B-966E76B8F5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1157056"/>
        <c:axId val="110115273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Daten!$B$1</c15:sqref>
                        </c15:formulaRef>
                      </c:ext>
                    </c:extLst>
                    <c:strCache>
                      <c:ptCount val="1"/>
                      <c:pt idx="0">
                        <c:v>Gesamtanzahl</c:v>
                      </c:pt>
                    </c:strCache>
                  </c:strRef>
                </c:tx>
                <c:spPr>
                  <a:solidFill>
                    <a:schemeClr val="dk1">
                      <a:tint val="885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Daten!$A$2:$A$13</c15:sqref>
                        </c15:fullRef>
                        <c15:formulaRef>
                          <c15:sqref>(Daten!$A$3:$A$5,Daten!$A$9:$A$13)</c15:sqref>
                        </c15:formulaRef>
                      </c:ext>
                    </c:extLst>
                    <c:strCache>
                      <c:ptCount val="8"/>
                      <c:pt idx="0">
                        <c:v>GPT5</c:v>
                      </c:pt>
                      <c:pt idx="1">
                        <c:v>GPT4</c:v>
                      </c:pt>
                      <c:pt idx="2">
                        <c:v>OSS120B</c:v>
                      </c:pt>
                      <c:pt idx="3">
                        <c:v>Gemma27B</c:v>
                      </c:pt>
                      <c:pt idx="4">
                        <c:v>Mistral8B</c:v>
                      </c:pt>
                      <c:pt idx="5">
                        <c:v>LLama38B</c:v>
                      </c:pt>
                      <c:pt idx="6">
                        <c:v>Llama3DiscoLeo8B</c:v>
                      </c:pt>
                      <c:pt idx="7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Daten!$B$2:$B$13</c15:sqref>
                        </c15:fullRef>
                        <c15:formulaRef>
                          <c15:sqref>(Daten!$B$3:$B$5,Daten!$B$9:$B$13)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3004</c:v>
                      </c:pt>
                      <c:pt idx="1">
                        <c:v>3004</c:v>
                      </c:pt>
                      <c:pt idx="2">
                        <c:v>3004</c:v>
                      </c:pt>
                      <c:pt idx="3">
                        <c:v>3004</c:v>
                      </c:pt>
                      <c:pt idx="4">
                        <c:v>3004</c:v>
                      </c:pt>
                      <c:pt idx="5">
                        <c:v>3004</c:v>
                      </c:pt>
                      <c:pt idx="6">
                        <c:v>3004</c:v>
                      </c:pt>
                      <c:pt idx="7">
                        <c:v>3004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B736-4502-AF6B-966E76B8F5E6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Daten!$C$1</c15:sqref>
                        </c15:formulaRef>
                      </c:ext>
                    </c:extLst>
                    <c:strCache>
                      <c:ptCount val="1"/>
                      <c:pt idx="0">
                        <c:v>Anzahl_Klassifikationen</c:v>
                      </c:pt>
                    </c:strCache>
                  </c:strRef>
                </c:tx>
                <c:spPr>
                  <a:solidFill>
                    <a:schemeClr val="dk1">
                      <a:tint val="5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(Daten!$A$3:$A$5,Daten!$A$9:$A$13)</c15:sqref>
                        </c15:formulaRef>
                      </c:ext>
                    </c:extLst>
                    <c:strCache>
                      <c:ptCount val="8"/>
                      <c:pt idx="0">
                        <c:v>GPT5</c:v>
                      </c:pt>
                      <c:pt idx="1">
                        <c:v>GPT4</c:v>
                      </c:pt>
                      <c:pt idx="2">
                        <c:v>OSS120B</c:v>
                      </c:pt>
                      <c:pt idx="3">
                        <c:v>Gemma27B</c:v>
                      </c:pt>
                      <c:pt idx="4">
                        <c:v>Mistral8B</c:v>
                      </c:pt>
                      <c:pt idx="5">
                        <c:v>LLama38B</c:v>
                      </c:pt>
                      <c:pt idx="6">
                        <c:v>Llama3DiscoLeo8B</c:v>
                      </c:pt>
                      <c:pt idx="7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Daten!$C$2:$C$13</c15:sqref>
                        </c15:fullRef>
                        <c15:formulaRef>
                          <c15:sqref>(Daten!$C$3:$C$5,Daten!$C$9:$C$13)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2990</c:v>
                      </c:pt>
                      <c:pt idx="1">
                        <c:v>2998</c:v>
                      </c:pt>
                      <c:pt idx="2">
                        <c:v>3002</c:v>
                      </c:pt>
                      <c:pt idx="3">
                        <c:v>2989</c:v>
                      </c:pt>
                      <c:pt idx="4">
                        <c:v>2996</c:v>
                      </c:pt>
                      <c:pt idx="5">
                        <c:v>3002</c:v>
                      </c:pt>
                      <c:pt idx="6">
                        <c:v>2995</c:v>
                      </c:pt>
                      <c:pt idx="7">
                        <c:v>3000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736-4502-AF6B-966E76B8F5E6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Daten!$D$1</c15:sqref>
                        </c15:formulaRef>
                      </c:ext>
                    </c:extLst>
                    <c:strCache>
                      <c:ptCount val="1"/>
                      <c:pt idx="0">
                        <c:v>Fehlende ('-'/NaN/leer)</c:v>
                      </c:pt>
                    </c:strCache>
                  </c:strRef>
                </c:tx>
                <c:spPr>
                  <a:solidFill>
                    <a:schemeClr val="dk1">
                      <a:tint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(Daten!$A$3:$A$5,Daten!$A$9:$A$13)</c15:sqref>
                        </c15:formulaRef>
                      </c:ext>
                    </c:extLst>
                    <c:strCache>
                      <c:ptCount val="8"/>
                      <c:pt idx="0">
                        <c:v>GPT5</c:v>
                      </c:pt>
                      <c:pt idx="1">
                        <c:v>GPT4</c:v>
                      </c:pt>
                      <c:pt idx="2">
                        <c:v>OSS120B</c:v>
                      </c:pt>
                      <c:pt idx="3">
                        <c:v>Gemma27B</c:v>
                      </c:pt>
                      <c:pt idx="4">
                        <c:v>Mistral8B</c:v>
                      </c:pt>
                      <c:pt idx="5">
                        <c:v>LLama38B</c:v>
                      </c:pt>
                      <c:pt idx="6">
                        <c:v>Llama3DiscoLeo8B</c:v>
                      </c:pt>
                      <c:pt idx="7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Daten!$D$2:$D$13</c15:sqref>
                        </c15:fullRef>
                        <c15:formulaRef>
                          <c15:sqref>(Daten!$D$3:$D$5,Daten!$D$9:$D$13)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14</c:v>
                      </c:pt>
                      <c:pt idx="1">
                        <c:v>6</c:v>
                      </c:pt>
                      <c:pt idx="2">
                        <c:v>2</c:v>
                      </c:pt>
                      <c:pt idx="3">
                        <c:v>15</c:v>
                      </c:pt>
                      <c:pt idx="4">
                        <c:v>8</c:v>
                      </c:pt>
                      <c:pt idx="5">
                        <c:v>2</c:v>
                      </c:pt>
                      <c:pt idx="6">
                        <c:v>9</c:v>
                      </c:pt>
                      <c:pt idx="7">
                        <c:v>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736-4502-AF6B-966E76B8F5E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Daten!$E$1</c15:sqref>
                        </c15:formulaRef>
                      </c:ext>
                    </c:extLst>
                    <c:strCache>
                      <c:ptCount val="1"/>
                      <c:pt idx="0">
                        <c:v>Accuracy (bereinigt)</c:v>
                      </c:pt>
                    </c:strCache>
                  </c:strRef>
                </c:tx>
                <c:spPr>
                  <a:solidFill>
                    <a:schemeClr val="dk1">
                      <a:tint val="985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(Daten!$A$3:$A$5,Daten!$A$9:$A$13)</c15:sqref>
                        </c15:formulaRef>
                      </c:ext>
                    </c:extLst>
                    <c:strCache>
                      <c:ptCount val="8"/>
                      <c:pt idx="0">
                        <c:v>GPT5</c:v>
                      </c:pt>
                      <c:pt idx="1">
                        <c:v>GPT4</c:v>
                      </c:pt>
                      <c:pt idx="2">
                        <c:v>OSS120B</c:v>
                      </c:pt>
                      <c:pt idx="3">
                        <c:v>Gemma27B</c:v>
                      </c:pt>
                      <c:pt idx="4">
                        <c:v>Mistral8B</c:v>
                      </c:pt>
                      <c:pt idx="5">
                        <c:v>LLama38B</c:v>
                      </c:pt>
                      <c:pt idx="6">
                        <c:v>Llama3DiscoLeo8B</c:v>
                      </c:pt>
                      <c:pt idx="7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Daten!$E$2:$E$13</c15:sqref>
                        </c15:fullRef>
                        <c15:formulaRef>
                          <c15:sqref>(Daten!$E$3:$E$5,Daten!$E$9:$E$13)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0.79300000000000004</c:v>
                      </c:pt>
                      <c:pt idx="1">
                        <c:v>0.80200000000000005</c:v>
                      </c:pt>
                      <c:pt idx="2">
                        <c:v>0.72799999999999998</c:v>
                      </c:pt>
                      <c:pt idx="3">
                        <c:v>0.69299999999999995</c:v>
                      </c:pt>
                      <c:pt idx="4">
                        <c:v>0.78</c:v>
                      </c:pt>
                      <c:pt idx="5">
                        <c:v>0.71899999999999997</c:v>
                      </c:pt>
                      <c:pt idx="6">
                        <c:v>0.32900000000000001</c:v>
                      </c:pt>
                      <c:pt idx="7">
                        <c:v>0.84899999999999998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736-4502-AF6B-966E76B8F5E6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Daten!$F$1</c15:sqref>
                        </c15:formulaRef>
                      </c:ext>
                    </c:extLst>
                    <c:strCache>
                      <c:ptCount val="1"/>
                      <c:pt idx="0">
                        <c:v>TP</c:v>
                      </c:pt>
                    </c:strCache>
                  </c:strRef>
                </c:tx>
                <c:spPr>
                  <a:solidFill>
                    <a:schemeClr val="dk1">
                      <a:tint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(Daten!$A$3:$A$5,Daten!$A$9:$A$13)</c15:sqref>
                        </c15:formulaRef>
                      </c:ext>
                    </c:extLst>
                    <c:strCache>
                      <c:ptCount val="8"/>
                      <c:pt idx="0">
                        <c:v>GPT5</c:v>
                      </c:pt>
                      <c:pt idx="1">
                        <c:v>GPT4</c:v>
                      </c:pt>
                      <c:pt idx="2">
                        <c:v>OSS120B</c:v>
                      </c:pt>
                      <c:pt idx="3">
                        <c:v>Gemma27B</c:v>
                      </c:pt>
                      <c:pt idx="4">
                        <c:v>Mistral8B</c:v>
                      </c:pt>
                      <c:pt idx="5">
                        <c:v>LLama38B</c:v>
                      </c:pt>
                      <c:pt idx="6">
                        <c:v>Llama3DiscoLeo8B</c:v>
                      </c:pt>
                      <c:pt idx="7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Daten!$F$2:$F$13</c15:sqref>
                        </c15:fullRef>
                        <c15:formulaRef>
                          <c15:sqref>(Daten!$F$3:$F$5,Daten!$F$9:$F$13)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87</c:v>
                      </c:pt>
                      <c:pt idx="1">
                        <c:v>72</c:v>
                      </c:pt>
                      <c:pt idx="2">
                        <c:v>53</c:v>
                      </c:pt>
                      <c:pt idx="3">
                        <c:v>82</c:v>
                      </c:pt>
                      <c:pt idx="4">
                        <c:v>65</c:v>
                      </c:pt>
                      <c:pt idx="5">
                        <c:v>77</c:v>
                      </c:pt>
                      <c:pt idx="6">
                        <c:v>128</c:v>
                      </c:pt>
                      <c:pt idx="7">
                        <c:v>47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736-4502-AF6B-966E76B8F5E6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Daten!$G$1</c15:sqref>
                        </c15:formulaRef>
                      </c:ext>
                    </c:extLst>
                    <c:strCache>
                      <c:ptCount val="1"/>
                      <c:pt idx="0">
                        <c:v>FP</c:v>
                      </c:pt>
                    </c:strCache>
                  </c:strRef>
                </c:tx>
                <c:spPr>
                  <a:solidFill>
                    <a:schemeClr val="dk1">
                      <a:tint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(Daten!$A$3:$A$5,Daten!$A$9:$A$13)</c15:sqref>
                        </c15:formulaRef>
                      </c:ext>
                    </c:extLst>
                    <c:strCache>
                      <c:ptCount val="8"/>
                      <c:pt idx="0">
                        <c:v>GPT5</c:v>
                      </c:pt>
                      <c:pt idx="1">
                        <c:v>GPT4</c:v>
                      </c:pt>
                      <c:pt idx="2">
                        <c:v>OSS120B</c:v>
                      </c:pt>
                      <c:pt idx="3">
                        <c:v>Gemma27B</c:v>
                      </c:pt>
                      <c:pt idx="4">
                        <c:v>Mistral8B</c:v>
                      </c:pt>
                      <c:pt idx="5">
                        <c:v>LLama38B</c:v>
                      </c:pt>
                      <c:pt idx="6">
                        <c:v>Llama3DiscoLeo8B</c:v>
                      </c:pt>
                      <c:pt idx="7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Daten!$G$2:$G$13</c15:sqref>
                        </c15:fullRef>
                        <c15:formulaRef>
                          <c15:sqref>(Daten!$G$3:$G$5,Daten!$G$9:$G$13)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570</c:v>
                      </c:pt>
                      <c:pt idx="1">
                        <c:v>530</c:v>
                      </c:pt>
                      <c:pt idx="2">
                        <c:v>734</c:v>
                      </c:pt>
                      <c:pt idx="3">
                        <c:v>864</c:v>
                      </c:pt>
                      <c:pt idx="4">
                        <c:v>588</c:v>
                      </c:pt>
                      <c:pt idx="5">
                        <c:v>785</c:v>
                      </c:pt>
                      <c:pt idx="6">
                        <c:v>2002</c:v>
                      </c:pt>
                      <c:pt idx="7">
                        <c:v>364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736-4502-AF6B-966E76B8F5E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Daten!$H$1</c15:sqref>
                        </c15:formulaRef>
                      </c:ext>
                    </c:extLst>
                    <c:strCache>
                      <c:ptCount val="1"/>
                      <c:pt idx="0">
                        <c:v>FN</c:v>
                      </c:pt>
                    </c:strCache>
                  </c:strRef>
                </c:tx>
                <c:spPr>
                  <a:solidFill>
                    <a:schemeClr val="dk1">
                      <a:tint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(Daten!$A$3:$A$5,Daten!$A$9:$A$13)</c15:sqref>
                        </c15:formulaRef>
                      </c:ext>
                    </c:extLst>
                    <c:strCache>
                      <c:ptCount val="8"/>
                      <c:pt idx="0">
                        <c:v>GPT5</c:v>
                      </c:pt>
                      <c:pt idx="1">
                        <c:v>GPT4</c:v>
                      </c:pt>
                      <c:pt idx="2">
                        <c:v>OSS120B</c:v>
                      </c:pt>
                      <c:pt idx="3">
                        <c:v>Gemma27B</c:v>
                      </c:pt>
                      <c:pt idx="4">
                        <c:v>Mistral8B</c:v>
                      </c:pt>
                      <c:pt idx="5">
                        <c:v>LLama38B</c:v>
                      </c:pt>
                      <c:pt idx="6">
                        <c:v>Llama3DiscoLeo8B</c:v>
                      </c:pt>
                      <c:pt idx="7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Daten!$H$2:$H$13</c15:sqref>
                        </c15:fullRef>
                        <c15:formulaRef>
                          <c15:sqref>(Daten!$H$3:$H$5,Daten!$H$9:$H$13)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50</c:v>
                      </c:pt>
                      <c:pt idx="1">
                        <c:v>65</c:v>
                      </c:pt>
                      <c:pt idx="2">
                        <c:v>83</c:v>
                      </c:pt>
                      <c:pt idx="3">
                        <c:v>54</c:v>
                      </c:pt>
                      <c:pt idx="4">
                        <c:v>71</c:v>
                      </c:pt>
                      <c:pt idx="5">
                        <c:v>60</c:v>
                      </c:pt>
                      <c:pt idx="6">
                        <c:v>8</c:v>
                      </c:pt>
                      <c:pt idx="7">
                        <c:v>90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736-4502-AF6B-966E76B8F5E6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Daten!$I$1</c15:sqref>
                        </c15:formulaRef>
                      </c:ext>
                    </c:extLst>
                    <c:strCache>
                      <c:ptCount val="1"/>
                      <c:pt idx="0">
                        <c:v>TN</c:v>
                      </c:pt>
                    </c:strCache>
                  </c:strRef>
                </c:tx>
                <c:spPr>
                  <a:solidFill>
                    <a:schemeClr val="dk1">
                      <a:tint val="885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(Daten!$A$3:$A$5,Daten!$A$9:$A$13)</c15:sqref>
                        </c15:formulaRef>
                      </c:ext>
                    </c:extLst>
                    <c:strCache>
                      <c:ptCount val="8"/>
                      <c:pt idx="0">
                        <c:v>GPT5</c:v>
                      </c:pt>
                      <c:pt idx="1">
                        <c:v>GPT4</c:v>
                      </c:pt>
                      <c:pt idx="2">
                        <c:v>OSS120B</c:v>
                      </c:pt>
                      <c:pt idx="3">
                        <c:v>Gemma27B</c:v>
                      </c:pt>
                      <c:pt idx="4">
                        <c:v>Mistral8B</c:v>
                      </c:pt>
                      <c:pt idx="5">
                        <c:v>LLama38B</c:v>
                      </c:pt>
                      <c:pt idx="6">
                        <c:v>Llama3DiscoLeo8B</c:v>
                      </c:pt>
                      <c:pt idx="7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Daten!$I$2:$I$13</c15:sqref>
                        </c15:fullRef>
                        <c15:formulaRef>
                          <c15:sqref>(Daten!$I$3:$I$5,Daten!$I$9:$I$13)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2283</c:v>
                      </c:pt>
                      <c:pt idx="1">
                        <c:v>2331</c:v>
                      </c:pt>
                      <c:pt idx="2">
                        <c:v>2132</c:v>
                      </c:pt>
                      <c:pt idx="3">
                        <c:v>1989</c:v>
                      </c:pt>
                      <c:pt idx="4">
                        <c:v>2272</c:v>
                      </c:pt>
                      <c:pt idx="5">
                        <c:v>2080</c:v>
                      </c:pt>
                      <c:pt idx="6">
                        <c:v>857</c:v>
                      </c:pt>
                      <c:pt idx="7">
                        <c:v>2499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B736-4502-AF6B-966E76B8F5E6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Daten!$K$1</c15:sqref>
                        </c15:formulaRef>
                      </c:ext>
                    </c:extLst>
                    <c:strCache>
                      <c:ptCount val="1"/>
                      <c:pt idx="0">
                        <c:v>Recall      (Unwirksam)</c:v>
                      </c:pt>
                    </c:strCache>
                  </c:strRef>
                </c:tx>
                <c:spPr>
                  <a:solidFill>
                    <a:schemeClr val="dk1">
                      <a:tint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(Daten!$A$3:$A$5,Daten!$A$9:$A$13)</c15:sqref>
                        </c15:formulaRef>
                      </c:ext>
                    </c:extLst>
                    <c:strCache>
                      <c:ptCount val="8"/>
                      <c:pt idx="0">
                        <c:v>GPT5</c:v>
                      </c:pt>
                      <c:pt idx="1">
                        <c:v>GPT4</c:v>
                      </c:pt>
                      <c:pt idx="2">
                        <c:v>OSS120B</c:v>
                      </c:pt>
                      <c:pt idx="3">
                        <c:v>Gemma27B</c:v>
                      </c:pt>
                      <c:pt idx="4">
                        <c:v>Mistral8B</c:v>
                      </c:pt>
                      <c:pt idx="5">
                        <c:v>LLama38B</c:v>
                      </c:pt>
                      <c:pt idx="6">
                        <c:v>Llama3DiscoLeo8B</c:v>
                      </c:pt>
                      <c:pt idx="7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Daten!$K$2:$K$13</c15:sqref>
                        </c15:fullRef>
                        <c15:formulaRef>
                          <c15:sqref>(Daten!$K$3:$K$5,Daten!$K$9:$K$13)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0.63500000000000001</c:v>
                      </c:pt>
                      <c:pt idx="1">
                        <c:v>0.52600000000000002</c:v>
                      </c:pt>
                      <c:pt idx="2">
                        <c:v>0.39</c:v>
                      </c:pt>
                      <c:pt idx="3">
                        <c:v>0.60299999999999998</c:v>
                      </c:pt>
                      <c:pt idx="4">
                        <c:v>0.47799999999999998</c:v>
                      </c:pt>
                      <c:pt idx="5">
                        <c:v>0.56200000000000006</c:v>
                      </c:pt>
                      <c:pt idx="6">
                        <c:v>0.94099999999999995</c:v>
                      </c:pt>
                      <c:pt idx="7">
                        <c:v>0.34300000000000003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B736-4502-AF6B-966E76B8F5E6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Daten!$L$1</c15:sqref>
                        </c15:formulaRef>
                      </c:ext>
                    </c:extLst>
                    <c:strCache>
                      <c:ptCount val="1"/>
                      <c:pt idx="0">
                        <c:v>F1      (Unwirksam)</c:v>
                      </c:pt>
                    </c:strCache>
                  </c:strRef>
                </c:tx>
                <c:spPr>
                  <a:solidFill>
                    <a:schemeClr val="dk1">
                      <a:tint val="985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(Daten!$A$3:$A$5,Daten!$A$9:$A$13)</c15:sqref>
                        </c15:formulaRef>
                      </c:ext>
                    </c:extLst>
                    <c:strCache>
                      <c:ptCount val="8"/>
                      <c:pt idx="0">
                        <c:v>GPT5</c:v>
                      </c:pt>
                      <c:pt idx="1">
                        <c:v>GPT4</c:v>
                      </c:pt>
                      <c:pt idx="2">
                        <c:v>OSS120B</c:v>
                      </c:pt>
                      <c:pt idx="3">
                        <c:v>Gemma27B</c:v>
                      </c:pt>
                      <c:pt idx="4">
                        <c:v>Mistral8B</c:v>
                      </c:pt>
                      <c:pt idx="5">
                        <c:v>LLama38B</c:v>
                      </c:pt>
                      <c:pt idx="6">
                        <c:v>Llama3DiscoLeo8B</c:v>
                      </c:pt>
                      <c:pt idx="7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Daten!$L$2:$L$13</c15:sqref>
                        </c15:fullRef>
                        <c15:formulaRef>
                          <c15:sqref>(Daten!$L$3:$L$5,Daten!$L$9:$L$13)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0.219</c:v>
                      </c:pt>
                      <c:pt idx="1">
                        <c:v>0.19500000000000001</c:v>
                      </c:pt>
                      <c:pt idx="2">
                        <c:v>0.115</c:v>
                      </c:pt>
                      <c:pt idx="3">
                        <c:v>0.152</c:v>
                      </c:pt>
                      <c:pt idx="4">
                        <c:v>0.16500000000000001</c:v>
                      </c:pt>
                      <c:pt idx="5">
                        <c:v>0.154</c:v>
                      </c:pt>
                      <c:pt idx="6">
                        <c:v>0.113</c:v>
                      </c:pt>
                      <c:pt idx="7">
                        <c:v>0.17199999999999999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B736-4502-AF6B-966E76B8F5E6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Daten!$M$1</c15:sqref>
                        </c15:formulaRef>
                      </c:ext>
                    </c:extLst>
                    <c:strCache>
                      <c:ptCount val="1"/>
                      <c:pt idx="0">
                        <c:v>Precision      (Wirksam)</c:v>
                      </c:pt>
                    </c:strCache>
                  </c:strRef>
                </c:tx>
                <c:spPr>
                  <a:solidFill>
                    <a:schemeClr val="dk1">
                      <a:tint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(Daten!$A$3:$A$5,Daten!$A$9:$A$13)</c15:sqref>
                        </c15:formulaRef>
                      </c:ext>
                    </c:extLst>
                    <c:strCache>
                      <c:ptCount val="8"/>
                      <c:pt idx="0">
                        <c:v>GPT5</c:v>
                      </c:pt>
                      <c:pt idx="1">
                        <c:v>GPT4</c:v>
                      </c:pt>
                      <c:pt idx="2">
                        <c:v>OSS120B</c:v>
                      </c:pt>
                      <c:pt idx="3">
                        <c:v>Gemma27B</c:v>
                      </c:pt>
                      <c:pt idx="4">
                        <c:v>Mistral8B</c:v>
                      </c:pt>
                      <c:pt idx="5">
                        <c:v>LLama38B</c:v>
                      </c:pt>
                      <c:pt idx="6">
                        <c:v>Llama3DiscoLeo8B</c:v>
                      </c:pt>
                      <c:pt idx="7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Daten!$M$2:$M$13</c15:sqref>
                        </c15:fullRef>
                        <c15:formulaRef>
                          <c15:sqref>(Daten!$M$3:$M$5,Daten!$M$9:$M$13)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0.97899999999999998</c:v>
                      </c:pt>
                      <c:pt idx="1">
                        <c:v>0.97299999999999998</c:v>
                      </c:pt>
                      <c:pt idx="2">
                        <c:v>0.96299999999999997</c:v>
                      </c:pt>
                      <c:pt idx="3">
                        <c:v>0.97399999999999998</c:v>
                      </c:pt>
                      <c:pt idx="4">
                        <c:v>0.97</c:v>
                      </c:pt>
                      <c:pt idx="5">
                        <c:v>0.97199999999999998</c:v>
                      </c:pt>
                      <c:pt idx="6">
                        <c:v>0.99099999999999999</c:v>
                      </c:pt>
                      <c:pt idx="7">
                        <c:v>0.96499999999999997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B736-4502-AF6B-966E76B8F5E6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Daten!$N$1</c15:sqref>
                        </c15:formulaRef>
                      </c:ext>
                    </c:extLst>
                    <c:strCache>
                      <c:ptCount val="1"/>
                      <c:pt idx="0">
                        <c:v>Recall (Wirksam)</c:v>
                      </c:pt>
                    </c:strCache>
                  </c:strRef>
                </c:tx>
                <c:spPr>
                  <a:solidFill>
                    <a:schemeClr val="dk1">
                      <a:tint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(Daten!$A$3:$A$5,Daten!$A$9:$A$13)</c15:sqref>
                        </c15:formulaRef>
                      </c:ext>
                    </c:extLst>
                    <c:strCache>
                      <c:ptCount val="8"/>
                      <c:pt idx="0">
                        <c:v>GPT5</c:v>
                      </c:pt>
                      <c:pt idx="1">
                        <c:v>GPT4</c:v>
                      </c:pt>
                      <c:pt idx="2">
                        <c:v>OSS120B</c:v>
                      </c:pt>
                      <c:pt idx="3">
                        <c:v>Gemma27B</c:v>
                      </c:pt>
                      <c:pt idx="4">
                        <c:v>Mistral8B</c:v>
                      </c:pt>
                      <c:pt idx="5">
                        <c:v>LLama38B</c:v>
                      </c:pt>
                      <c:pt idx="6">
                        <c:v>Llama3DiscoLeo8B</c:v>
                      </c:pt>
                      <c:pt idx="7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Daten!$N$2:$N$13</c15:sqref>
                        </c15:fullRef>
                        <c15:formulaRef>
                          <c15:sqref>(Daten!$N$3:$N$5,Daten!$N$9:$N$13)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0.8</c:v>
                      </c:pt>
                      <c:pt idx="1">
                        <c:v>0.81499999999999995</c:v>
                      </c:pt>
                      <c:pt idx="2">
                        <c:v>0.74399999999999999</c:v>
                      </c:pt>
                      <c:pt idx="3">
                        <c:v>0.69699999999999995</c:v>
                      </c:pt>
                      <c:pt idx="4">
                        <c:v>0.79400000000000004</c:v>
                      </c:pt>
                      <c:pt idx="5">
                        <c:v>0.72599999999999998</c:v>
                      </c:pt>
                      <c:pt idx="6">
                        <c:v>0.3</c:v>
                      </c:pt>
                      <c:pt idx="7">
                        <c:v>0.873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B736-4502-AF6B-966E76B8F5E6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Daten!$O$1</c15:sqref>
                        </c15:formulaRef>
                      </c:ext>
                    </c:extLst>
                    <c:strCache>
                      <c:ptCount val="1"/>
                      <c:pt idx="0">
                        <c:v>F1                           (Wirksam)</c:v>
                      </c:pt>
                    </c:strCache>
                  </c:strRef>
                </c:tx>
                <c:spPr>
                  <a:solidFill>
                    <a:schemeClr val="dk1">
                      <a:tint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(Daten!$A$3:$A$5,Daten!$A$9:$A$13)</c15:sqref>
                        </c15:formulaRef>
                      </c:ext>
                    </c:extLst>
                    <c:strCache>
                      <c:ptCount val="8"/>
                      <c:pt idx="0">
                        <c:v>GPT5</c:v>
                      </c:pt>
                      <c:pt idx="1">
                        <c:v>GPT4</c:v>
                      </c:pt>
                      <c:pt idx="2">
                        <c:v>OSS120B</c:v>
                      </c:pt>
                      <c:pt idx="3">
                        <c:v>Gemma27B</c:v>
                      </c:pt>
                      <c:pt idx="4">
                        <c:v>Mistral8B</c:v>
                      </c:pt>
                      <c:pt idx="5">
                        <c:v>LLama38B</c:v>
                      </c:pt>
                      <c:pt idx="6">
                        <c:v>Llama3DiscoLeo8B</c:v>
                      </c:pt>
                      <c:pt idx="7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Daten!$O$2:$O$13</c15:sqref>
                        </c15:fullRef>
                        <c15:formulaRef>
                          <c15:sqref>(Daten!$O$3:$O$5,Daten!$O$9:$O$13)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0.88</c:v>
                      </c:pt>
                      <c:pt idx="1">
                        <c:v>0.88700000000000001</c:v>
                      </c:pt>
                      <c:pt idx="2">
                        <c:v>0.83899999999999997</c:v>
                      </c:pt>
                      <c:pt idx="3">
                        <c:v>0.81200000000000006</c:v>
                      </c:pt>
                      <c:pt idx="4">
                        <c:v>0.873</c:v>
                      </c:pt>
                      <c:pt idx="5">
                        <c:v>0.83099999999999996</c:v>
                      </c:pt>
                      <c:pt idx="6">
                        <c:v>0.46</c:v>
                      </c:pt>
                      <c:pt idx="7">
                        <c:v>0.91700000000000004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B736-4502-AF6B-966E76B8F5E6}"/>
                  </c:ext>
                </c:extLst>
              </c15:ser>
            </c15:filteredBarSeries>
            <c15:filteredB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Daten!$P$1</c15:sqref>
                        </c15:formulaRef>
                      </c:ext>
                    </c:extLst>
                    <c:strCache>
                      <c:ptCount val="1"/>
                      <c:pt idx="0">
                        <c:v>F1           (macro)</c:v>
                      </c:pt>
                    </c:strCache>
                  </c:strRef>
                </c:tx>
                <c:spPr>
                  <a:solidFill>
                    <a:schemeClr val="dk1">
                      <a:tint val="885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(Daten!$A$3:$A$5,Daten!$A$9:$A$13)</c15:sqref>
                        </c15:formulaRef>
                      </c:ext>
                    </c:extLst>
                    <c:strCache>
                      <c:ptCount val="8"/>
                      <c:pt idx="0">
                        <c:v>GPT5</c:v>
                      </c:pt>
                      <c:pt idx="1">
                        <c:v>GPT4</c:v>
                      </c:pt>
                      <c:pt idx="2">
                        <c:v>OSS120B</c:v>
                      </c:pt>
                      <c:pt idx="3">
                        <c:v>Gemma27B</c:v>
                      </c:pt>
                      <c:pt idx="4">
                        <c:v>Mistral8B</c:v>
                      </c:pt>
                      <c:pt idx="5">
                        <c:v>LLama38B</c:v>
                      </c:pt>
                      <c:pt idx="6">
                        <c:v>Llama3DiscoLeo8B</c:v>
                      </c:pt>
                      <c:pt idx="7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Daten!$P$2:$P$13</c15:sqref>
                        </c15:fullRef>
                        <c15:formulaRef>
                          <c15:sqref>(Daten!$P$3:$P$5,Daten!$P$9:$P$13)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0.55000000000000004</c:v>
                      </c:pt>
                      <c:pt idx="1">
                        <c:v>0.54100000000000004</c:v>
                      </c:pt>
                      <c:pt idx="2">
                        <c:v>0.47699999999999998</c:v>
                      </c:pt>
                      <c:pt idx="3">
                        <c:v>0.48199999999999998</c:v>
                      </c:pt>
                      <c:pt idx="4">
                        <c:v>0.51900000000000002</c:v>
                      </c:pt>
                      <c:pt idx="5">
                        <c:v>0.49299999999999999</c:v>
                      </c:pt>
                      <c:pt idx="6">
                        <c:v>0.28699999999999998</c:v>
                      </c:pt>
                      <c:pt idx="7">
                        <c:v>0.54400000000000004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B736-4502-AF6B-966E76B8F5E6}"/>
                  </c:ext>
                </c:extLst>
              </c15:ser>
            </c15:filteredBarSeries>
            <c15:filteredBa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Daten!$Q$1</c15:sqref>
                        </c15:formulaRef>
                      </c:ext>
                    </c:extLst>
                    <c:strCache>
                      <c:ptCount val="1"/>
                      <c:pt idx="0">
                        <c:v>F1                 (weighted)</c:v>
                      </c:pt>
                    </c:strCache>
                  </c:strRef>
                </c:tx>
                <c:spPr>
                  <a:solidFill>
                    <a:schemeClr val="dk1">
                      <a:tint val="5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(Daten!$A$3:$A$5,Daten!$A$9:$A$13)</c15:sqref>
                        </c15:formulaRef>
                      </c:ext>
                    </c:extLst>
                    <c:strCache>
                      <c:ptCount val="8"/>
                      <c:pt idx="0">
                        <c:v>GPT5</c:v>
                      </c:pt>
                      <c:pt idx="1">
                        <c:v>GPT4</c:v>
                      </c:pt>
                      <c:pt idx="2">
                        <c:v>OSS120B</c:v>
                      </c:pt>
                      <c:pt idx="3">
                        <c:v>Gemma27B</c:v>
                      </c:pt>
                      <c:pt idx="4">
                        <c:v>Mistral8B</c:v>
                      </c:pt>
                      <c:pt idx="5">
                        <c:v>LLama38B</c:v>
                      </c:pt>
                      <c:pt idx="6">
                        <c:v>Llama3DiscoLeo8B</c:v>
                      </c:pt>
                      <c:pt idx="7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Daten!$Q$2:$Q$13</c15:sqref>
                        </c15:fullRef>
                        <c15:formulaRef>
                          <c15:sqref>(Daten!$Q$3:$Q$5,Daten!$Q$9:$Q$13)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0.85</c:v>
                      </c:pt>
                      <c:pt idx="1">
                        <c:v>0.85499999999999998</c:v>
                      </c:pt>
                      <c:pt idx="2">
                        <c:v>0.80600000000000005</c:v>
                      </c:pt>
                      <c:pt idx="3">
                        <c:v>0.78200000000000003</c:v>
                      </c:pt>
                      <c:pt idx="4">
                        <c:v>0.84099999999999997</c:v>
                      </c:pt>
                      <c:pt idx="5">
                        <c:v>0.8</c:v>
                      </c:pt>
                      <c:pt idx="6">
                        <c:v>0.44400000000000001</c:v>
                      </c:pt>
                      <c:pt idx="7">
                        <c:v>0.88300000000000001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B736-4502-AF6B-966E76B8F5E6}"/>
                  </c:ext>
                </c:extLst>
              </c15:ser>
            </c15:filteredBarSeries>
          </c:ext>
        </c:extLst>
      </c:barChart>
      <c:catAx>
        <c:axId val="110115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01152736"/>
        <c:crosses val="autoZero"/>
        <c:auto val="1"/>
        <c:lblAlgn val="ctr"/>
        <c:lblOffset val="100"/>
        <c:noMultiLvlLbl val="0"/>
      </c:catAx>
      <c:valAx>
        <c:axId val="110115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01157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MCC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21"/>
          <c:order val="21"/>
          <c:tx>
            <c:strRef>
              <c:f>Daten!$W$1</c:f>
              <c:strCache>
                <c:ptCount val="1"/>
                <c:pt idx="0">
                  <c:v>MCC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Daten!$A$2:$A$13</c15:sqref>
                  </c15:fullRef>
                </c:ext>
              </c:extLst>
              <c:f>(Daten!$A$2:$A$7,Daten!$A$9:$A$13)</c:f>
              <c:strCache>
                <c:ptCount val="11"/>
                <c:pt idx="0">
                  <c:v>Grok-3</c:v>
                </c:pt>
                <c:pt idx="1">
                  <c:v>GPT5</c:v>
                </c:pt>
                <c:pt idx="2">
                  <c:v>GPT4</c:v>
                </c:pt>
                <c:pt idx="3">
                  <c:v>OSS120B</c:v>
                </c:pt>
                <c:pt idx="4">
                  <c:v>GPT o4-mini</c:v>
                </c:pt>
                <c:pt idx="5">
                  <c:v>DeepseekR1</c:v>
                </c:pt>
                <c:pt idx="6">
                  <c:v>Gemma27B</c:v>
                </c:pt>
                <c:pt idx="7">
                  <c:v>Mistral8B</c:v>
                </c:pt>
                <c:pt idx="8">
                  <c:v>LLama38B</c:v>
                </c:pt>
                <c:pt idx="9">
                  <c:v>Llama3DiscoLeo8B</c:v>
                </c:pt>
                <c:pt idx="10">
                  <c:v>GeminiFlashLite2.5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Daten!$W$2:$W$13</c15:sqref>
                  </c15:fullRef>
                </c:ext>
              </c:extLst>
              <c:f>(Daten!$W$2:$W$7,Daten!$W$9:$W$13)</c:f>
              <c:numCache>
                <c:formatCode>0.000</c:formatCode>
                <c:ptCount val="11"/>
                <c:pt idx="0">
                  <c:v>0.18356926633320153</c:v>
                </c:pt>
                <c:pt idx="1">
                  <c:v>0.21978937969481938</c:v>
                </c:pt>
                <c:pt idx="2">
                  <c:v>0.17739295172245745</c:v>
                </c:pt>
                <c:pt idx="3">
                  <c:v>6.3174114044420318E-2</c:v>
                </c:pt>
                <c:pt idx="4">
                  <c:v>0.19119375865872854</c:v>
                </c:pt>
                <c:pt idx="5">
                  <c:v>0.11377635994651038</c:v>
                </c:pt>
                <c:pt idx="6">
                  <c:v>0.13446509552169569</c:v>
                </c:pt>
                <c:pt idx="7">
                  <c:v>0.13731942181955628</c:v>
                </c:pt>
                <c:pt idx="8">
                  <c:v>0.13286967257948201</c:v>
                </c:pt>
                <c:pt idx="9">
                  <c:v>0.1106808522933104</c:v>
                </c:pt>
                <c:pt idx="10">
                  <c:v>0.13109605502729524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CD-405D-B390-2ADEBAA58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1157056"/>
        <c:axId val="110115273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Daten!$B$1</c15:sqref>
                        </c15:formulaRef>
                      </c:ext>
                    </c:extLst>
                    <c:strCache>
                      <c:ptCount val="1"/>
                      <c:pt idx="0">
                        <c:v>Gesamtanzahl</c:v>
                      </c:pt>
                    </c:strCache>
                  </c:strRef>
                </c:tx>
                <c:spPr>
                  <a:solidFill>
                    <a:schemeClr val="dk1">
                      <a:tint val="885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Daten!$B$2:$B$13</c15:sqref>
                        </c15:fullRef>
                        <c15:formulaRef>
                          <c15:sqref>(Daten!$B$2:$B$7,Daten!$B$9:$B$13)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3004</c:v>
                      </c:pt>
                      <c:pt idx="1">
                        <c:v>3004</c:v>
                      </c:pt>
                      <c:pt idx="2">
                        <c:v>3004</c:v>
                      </c:pt>
                      <c:pt idx="3">
                        <c:v>3004</c:v>
                      </c:pt>
                      <c:pt idx="4">
                        <c:v>3004</c:v>
                      </c:pt>
                      <c:pt idx="5">
                        <c:v>3004</c:v>
                      </c:pt>
                      <c:pt idx="6">
                        <c:v>3004</c:v>
                      </c:pt>
                      <c:pt idx="7">
                        <c:v>3004</c:v>
                      </c:pt>
                      <c:pt idx="8">
                        <c:v>3004</c:v>
                      </c:pt>
                      <c:pt idx="9">
                        <c:v>3004</c:v>
                      </c:pt>
                      <c:pt idx="10">
                        <c:v>3004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ACD-405D-B390-2ADEBAA58F41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Daten!$C$1</c15:sqref>
                        </c15:formulaRef>
                      </c:ext>
                    </c:extLst>
                    <c:strCache>
                      <c:ptCount val="1"/>
                      <c:pt idx="0">
                        <c:v>Anzahl_Klassifikationen</c:v>
                      </c:pt>
                    </c:strCache>
                  </c:strRef>
                </c:tx>
                <c:spPr>
                  <a:solidFill>
                    <a:schemeClr val="dk1">
                      <a:tint val="5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Daten!$C$2:$C$13</c15:sqref>
                        </c15:fullRef>
                        <c15:formulaRef>
                          <c15:sqref>(Daten!$C$2:$C$7,Daten!$C$9:$C$13)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2996</c:v>
                      </c:pt>
                      <c:pt idx="1">
                        <c:v>2990</c:v>
                      </c:pt>
                      <c:pt idx="2">
                        <c:v>2998</c:v>
                      </c:pt>
                      <c:pt idx="3">
                        <c:v>3002</c:v>
                      </c:pt>
                      <c:pt idx="4">
                        <c:v>2996</c:v>
                      </c:pt>
                      <c:pt idx="5">
                        <c:v>2998</c:v>
                      </c:pt>
                      <c:pt idx="6">
                        <c:v>2989</c:v>
                      </c:pt>
                      <c:pt idx="7">
                        <c:v>2996</c:v>
                      </c:pt>
                      <c:pt idx="8">
                        <c:v>3002</c:v>
                      </c:pt>
                      <c:pt idx="9">
                        <c:v>2995</c:v>
                      </c:pt>
                      <c:pt idx="10">
                        <c:v>3000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ACD-405D-B390-2ADEBAA58F41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Daten!$D$1</c15:sqref>
                        </c15:formulaRef>
                      </c:ext>
                    </c:extLst>
                    <c:strCache>
                      <c:ptCount val="1"/>
                      <c:pt idx="0">
                        <c:v>Fehlende ('-'/NaN/leer)</c:v>
                      </c:pt>
                    </c:strCache>
                  </c:strRef>
                </c:tx>
                <c:spPr>
                  <a:solidFill>
                    <a:schemeClr val="dk1">
                      <a:tint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Daten!$D$2:$D$13</c15:sqref>
                        </c15:fullRef>
                        <c15:formulaRef>
                          <c15:sqref>(Daten!$D$2:$D$7,Daten!$D$9:$D$13)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8</c:v>
                      </c:pt>
                      <c:pt idx="1">
                        <c:v>14</c:v>
                      </c:pt>
                      <c:pt idx="2">
                        <c:v>6</c:v>
                      </c:pt>
                      <c:pt idx="3">
                        <c:v>2</c:v>
                      </c:pt>
                      <c:pt idx="4">
                        <c:v>8</c:v>
                      </c:pt>
                      <c:pt idx="5">
                        <c:v>6</c:v>
                      </c:pt>
                      <c:pt idx="6">
                        <c:v>15</c:v>
                      </c:pt>
                      <c:pt idx="7">
                        <c:v>8</c:v>
                      </c:pt>
                      <c:pt idx="8">
                        <c:v>2</c:v>
                      </c:pt>
                      <c:pt idx="9">
                        <c:v>9</c:v>
                      </c:pt>
                      <c:pt idx="10">
                        <c:v>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ACD-405D-B390-2ADEBAA58F41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Daten!$E$1</c15:sqref>
                        </c15:formulaRef>
                      </c:ext>
                    </c:extLst>
                    <c:strCache>
                      <c:ptCount val="1"/>
                      <c:pt idx="0">
                        <c:v>Accuracy (bereinigt)</c:v>
                      </c:pt>
                    </c:strCache>
                  </c:strRef>
                </c:tx>
                <c:spPr>
                  <a:solidFill>
                    <a:schemeClr val="dk1">
                      <a:tint val="985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Daten!$E$2:$E$13</c15:sqref>
                        </c15:fullRef>
                        <c15:formulaRef>
                          <c15:sqref>(Daten!$E$2:$E$7,Daten!$E$9:$E$13)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0.74299999999999999</c:v>
                      </c:pt>
                      <c:pt idx="1">
                        <c:v>0.79300000000000004</c:v>
                      </c:pt>
                      <c:pt idx="2">
                        <c:v>0.80200000000000005</c:v>
                      </c:pt>
                      <c:pt idx="3">
                        <c:v>0.72799999999999998</c:v>
                      </c:pt>
                      <c:pt idx="4">
                        <c:v>0.88600000000000001</c:v>
                      </c:pt>
                      <c:pt idx="5">
                        <c:v>0.70199999999999996</c:v>
                      </c:pt>
                      <c:pt idx="6">
                        <c:v>0.69299999999999995</c:v>
                      </c:pt>
                      <c:pt idx="7">
                        <c:v>0.78</c:v>
                      </c:pt>
                      <c:pt idx="8">
                        <c:v>0.71899999999999997</c:v>
                      </c:pt>
                      <c:pt idx="9">
                        <c:v>0.32900000000000001</c:v>
                      </c:pt>
                      <c:pt idx="10">
                        <c:v>0.84899999999999998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ACD-405D-B390-2ADEBAA58F41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Daten!$F$1</c15:sqref>
                        </c15:formulaRef>
                      </c:ext>
                    </c:extLst>
                    <c:strCache>
                      <c:ptCount val="1"/>
                      <c:pt idx="0">
                        <c:v>TP</c:v>
                      </c:pt>
                    </c:strCache>
                  </c:strRef>
                </c:tx>
                <c:spPr>
                  <a:solidFill>
                    <a:schemeClr val="dk1">
                      <a:tint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Daten!$F$2:$F$13</c15:sqref>
                        </c15:fullRef>
                        <c15:formulaRef>
                          <c15:sqref>(Daten!$F$2:$F$7,Daten!$F$9:$F$13)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88</c:v>
                      </c:pt>
                      <c:pt idx="1">
                        <c:v>87</c:v>
                      </c:pt>
                      <c:pt idx="2">
                        <c:v>72</c:v>
                      </c:pt>
                      <c:pt idx="3">
                        <c:v>53</c:v>
                      </c:pt>
                      <c:pt idx="4">
                        <c:v>50</c:v>
                      </c:pt>
                      <c:pt idx="5">
                        <c:v>74</c:v>
                      </c:pt>
                      <c:pt idx="6">
                        <c:v>82</c:v>
                      </c:pt>
                      <c:pt idx="7">
                        <c:v>65</c:v>
                      </c:pt>
                      <c:pt idx="8">
                        <c:v>77</c:v>
                      </c:pt>
                      <c:pt idx="9">
                        <c:v>128</c:v>
                      </c:pt>
                      <c:pt idx="10">
                        <c:v>47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ACD-405D-B390-2ADEBAA58F41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Daten!$G$1</c15:sqref>
                        </c15:formulaRef>
                      </c:ext>
                    </c:extLst>
                    <c:strCache>
                      <c:ptCount val="1"/>
                      <c:pt idx="0">
                        <c:v>FP</c:v>
                      </c:pt>
                    </c:strCache>
                  </c:strRef>
                </c:tx>
                <c:spPr>
                  <a:solidFill>
                    <a:schemeClr val="dk1">
                      <a:tint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Daten!$G$2:$G$13</c15:sqref>
                        </c15:fullRef>
                        <c15:formulaRef>
                          <c15:sqref>(Daten!$G$2:$G$7,Daten!$G$9:$G$13)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721</c:v>
                      </c:pt>
                      <c:pt idx="1">
                        <c:v>570</c:v>
                      </c:pt>
                      <c:pt idx="2">
                        <c:v>530</c:v>
                      </c:pt>
                      <c:pt idx="3">
                        <c:v>734</c:v>
                      </c:pt>
                      <c:pt idx="4">
                        <c:v>256</c:v>
                      </c:pt>
                      <c:pt idx="5">
                        <c:v>830</c:v>
                      </c:pt>
                      <c:pt idx="6">
                        <c:v>864</c:v>
                      </c:pt>
                      <c:pt idx="7">
                        <c:v>588</c:v>
                      </c:pt>
                      <c:pt idx="8">
                        <c:v>785</c:v>
                      </c:pt>
                      <c:pt idx="9">
                        <c:v>2002</c:v>
                      </c:pt>
                      <c:pt idx="10">
                        <c:v>364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ACD-405D-B390-2ADEBAA58F41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Daten!$H$1</c15:sqref>
                        </c15:formulaRef>
                      </c:ext>
                    </c:extLst>
                    <c:strCache>
                      <c:ptCount val="1"/>
                      <c:pt idx="0">
                        <c:v>FN</c:v>
                      </c:pt>
                    </c:strCache>
                  </c:strRef>
                </c:tx>
                <c:spPr>
                  <a:solidFill>
                    <a:schemeClr val="dk1">
                      <a:tint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Daten!$H$2:$H$13</c15:sqref>
                        </c15:fullRef>
                        <c15:formulaRef>
                          <c15:sqref>(Daten!$H$2:$H$7,Daten!$H$9:$H$13)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49</c:v>
                      </c:pt>
                      <c:pt idx="1">
                        <c:v>50</c:v>
                      </c:pt>
                      <c:pt idx="2">
                        <c:v>65</c:v>
                      </c:pt>
                      <c:pt idx="3">
                        <c:v>83</c:v>
                      </c:pt>
                      <c:pt idx="4">
                        <c:v>86</c:v>
                      </c:pt>
                      <c:pt idx="5">
                        <c:v>63</c:v>
                      </c:pt>
                      <c:pt idx="6">
                        <c:v>54</c:v>
                      </c:pt>
                      <c:pt idx="7">
                        <c:v>71</c:v>
                      </c:pt>
                      <c:pt idx="8">
                        <c:v>60</c:v>
                      </c:pt>
                      <c:pt idx="9">
                        <c:v>8</c:v>
                      </c:pt>
                      <c:pt idx="10">
                        <c:v>90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ACD-405D-B390-2ADEBAA58F41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Daten!$I$1</c15:sqref>
                        </c15:formulaRef>
                      </c:ext>
                    </c:extLst>
                    <c:strCache>
                      <c:ptCount val="1"/>
                      <c:pt idx="0">
                        <c:v>TN</c:v>
                      </c:pt>
                    </c:strCache>
                  </c:strRef>
                </c:tx>
                <c:spPr>
                  <a:solidFill>
                    <a:schemeClr val="dk1">
                      <a:tint val="885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Daten!$I$2:$I$13</c15:sqref>
                        </c15:fullRef>
                        <c15:formulaRef>
                          <c15:sqref>(Daten!$I$2:$I$7,Daten!$I$9:$I$13)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2138</c:v>
                      </c:pt>
                      <c:pt idx="1">
                        <c:v>2283</c:v>
                      </c:pt>
                      <c:pt idx="2">
                        <c:v>2331</c:v>
                      </c:pt>
                      <c:pt idx="3">
                        <c:v>2132</c:v>
                      </c:pt>
                      <c:pt idx="4">
                        <c:v>2604</c:v>
                      </c:pt>
                      <c:pt idx="5">
                        <c:v>2031</c:v>
                      </c:pt>
                      <c:pt idx="6">
                        <c:v>1989</c:v>
                      </c:pt>
                      <c:pt idx="7">
                        <c:v>2272</c:v>
                      </c:pt>
                      <c:pt idx="8">
                        <c:v>2080</c:v>
                      </c:pt>
                      <c:pt idx="9">
                        <c:v>857</c:v>
                      </c:pt>
                      <c:pt idx="10">
                        <c:v>2499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6ACD-405D-B390-2ADEBAA58F41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Daten!$J$1</c15:sqref>
                        </c15:formulaRef>
                      </c:ext>
                    </c:extLst>
                    <c:strCache>
                      <c:ptCount val="1"/>
                      <c:pt idx="0">
                        <c:v>Precision      (Unwirksam)</c:v>
                      </c:pt>
                    </c:strCache>
                  </c:strRef>
                </c:tx>
                <c:spPr>
                  <a:solidFill>
                    <a:schemeClr val="dk1">
                      <a:tint val="5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Daten!$J$2:$J$13</c15:sqref>
                        </c15:fullRef>
                        <c15:formulaRef>
                          <c15:sqref>(Daten!$J$2:$J$7,Daten!$J$9:$J$13)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0.109</c:v>
                      </c:pt>
                      <c:pt idx="1">
                        <c:v>0.13200000000000001</c:v>
                      </c:pt>
                      <c:pt idx="2">
                        <c:v>0.12</c:v>
                      </c:pt>
                      <c:pt idx="3">
                        <c:v>6.7000000000000004E-2</c:v>
                      </c:pt>
                      <c:pt idx="4">
                        <c:v>0.16300000000000001</c:v>
                      </c:pt>
                      <c:pt idx="5">
                        <c:v>8.2000000000000003E-2</c:v>
                      </c:pt>
                      <c:pt idx="6">
                        <c:v>8.6999999999999994E-2</c:v>
                      </c:pt>
                      <c:pt idx="7">
                        <c:v>0.1</c:v>
                      </c:pt>
                      <c:pt idx="8">
                        <c:v>8.8999999999999996E-2</c:v>
                      </c:pt>
                      <c:pt idx="9">
                        <c:v>0.06</c:v>
                      </c:pt>
                      <c:pt idx="10">
                        <c:v>0.114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6ACD-405D-B390-2ADEBAA58F41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Daten!$K$1</c15:sqref>
                        </c15:formulaRef>
                      </c:ext>
                    </c:extLst>
                    <c:strCache>
                      <c:ptCount val="1"/>
                      <c:pt idx="0">
                        <c:v>Recall      (Unwirksam)</c:v>
                      </c:pt>
                    </c:strCache>
                  </c:strRef>
                </c:tx>
                <c:spPr>
                  <a:solidFill>
                    <a:schemeClr val="dk1">
                      <a:tint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Daten!$K$2:$K$13</c15:sqref>
                        </c15:fullRef>
                        <c15:formulaRef>
                          <c15:sqref>(Daten!$K$2:$K$7,Daten!$K$9:$K$13)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0.64200000000000002</c:v>
                      </c:pt>
                      <c:pt idx="1">
                        <c:v>0.63500000000000001</c:v>
                      </c:pt>
                      <c:pt idx="2">
                        <c:v>0.52600000000000002</c:v>
                      </c:pt>
                      <c:pt idx="3">
                        <c:v>0.39</c:v>
                      </c:pt>
                      <c:pt idx="4">
                        <c:v>0.36799999999999999</c:v>
                      </c:pt>
                      <c:pt idx="5">
                        <c:v>0.54</c:v>
                      </c:pt>
                      <c:pt idx="6">
                        <c:v>0.60299999999999998</c:v>
                      </c:pt>
                      <c:pt idx="7">
                        <c:v>0.47799999999999998</c:v>
                      </c:pt>
                      <c:pt idx="8">
                        <c:v>0.56200000000000006</c:v>
                      </c:pt>
                      <c:pt idx="9">
                        <c:v>0.94099999999999995</c:v>
                      </c:pt>
                      <c:pt idx="10">
                        <c:v>0.34300000000000003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6ACD-405D-B390-2ADEBAA58F41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Daten!$L$1</c15:sqref>
                        </c15:formulaRef>
                      </c:ext>
                    </c:extLst>
                    <c:strCache>
                      <c:ptCount val="1"/>
                      <c:pt idx="0">
                        <c:v>F1      (Unwirksam)</c:v>
                      </c:pt>
                    </c:strCache>
                  </c:strRef>
                </c:tx>
                <c:spPr>
                  <a:solidFill>
                    <a:schemeClr val="dk1">
                      <a:tint val="985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Daten!$L$2:$L$13</c15:sqref>
                        </c15:fullRef>
                        <c15:formulaRef>
                          <c15:sqref>(Daten!$L$2:$L$7,Daten!$L$9:$L$13)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0.186</c:v>
                      </c:pt>
                      <c:pt idx="1">
                        <c:v>0.219</c:v>
                      </c:pt>
                      <c:pt idx="2">
                        <c:v>0.19500000000000001</c:v>
                      </c:pt>
                      <c:pt idx="3">
                        <c:v>0.115</c:v>
                      </c:pt>
                      <c:pt idx="4">
                        <c:v>0.22600000000000001</c:v>
                      </c:pt>
                      <c:pt idx="5">
                        <c:v>0.14199999999999999</c:v>
                      </c:pt>
                      <c:pt idx="6">
                        <c:v>0.152</c:v>
                      </c:pt>
                      <c:pt idx="7">
                        <c:v>0.16500000000000001</c:v>
                      </c:pt>
                      <c:pt idx="8">
                        <c:v>0.154</c:v>
                      </c:pt>
                      <c:pt idx="9">
                        <c:v>0.113</c:v>
                      </c:pt>
                      <c:pt idx="10">
                        <c:v>0.17199999999999999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6ACD-405D-B390-2ADEBAA58F41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Daten!$M$1</c15:sqref>
                        </c15:formulaRef>
                      </c:ext>
                    </c:extLst>
                    <c:strCache>
                      <c:ptCount val="1"/>
                      <c:pt idx="0">
                        <c:v>Precision      (Wirksam)</c:v>
                      </c:pt>
                    </c:strCache>
                  </c:strRef>
                </c:tx>
                <c:spPr>
                  <a:solidFill>
                    <a:schemeClr val="dk1">
                      <a:tint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Daten!$M$2:$M$13</c15:sqref>
                        </c15:fullRef>
                        <c15:formulaRef>
                          <c15:sqref>(Daten!$M$2:$M$7,Daten!$M$9:$M$13)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0.97799999999999998</c:v>
                      </c:pt>
                      <c:pt idx="1">
                        <c:v>0.97899999999999998</c:v>
                      </c:pt>
                      <c:pt idx="2">
                        <c:v>0.97299999999999998</c:v>
                      </c:pt>
                      <c:pt idx="3">
                        <c:v>0.96299999999999997</c:v>
                      </c:pt>
                      <c:pt idx="4">
                        <c:v>0.96799999999999997</c:v>
                      </c:pt>
                      <c:pt idx="5">
                        <c:v>0.97</c:v>
                      </c:pt>
                      <c:pt idx="6">
                        <c:v>0.97399999999999998</c:v>
                      </c:pt>
                      <c:pt idx="7">
                        <c:v>0.97</c:v>
                      </c:pt>
                      <c:pt idx="8">
                        <c:v>0.97199999999999998</c:v>
                      </c:pt>
                      <c:pt idx="9">
                        <c:v>0.99099999999999999</c:v>
                      </c:pt>
                      <c:pt idx="10">
                        <c:v>0.96499999999999997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6ACD-405D-B390-2ADEBAA58F41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Daten!$N$1</c15:sqref>
                        </c15:formulaRef>
                      </c:ext>
                    </c:extLst>
                    <c:strCache>
                      <c:ptCount val="1"/>
                      <c:pt idx="0">
                        <c:v>Recall (Wirksam)</c:v>
                      </c:pt>
                    </c:strCache>
                  </c:strRef>
                </c:tx>
                <c:spPr>
                  <a:solidFill>
                    <a:schemeClr val="dk1">
                      <a:tint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Daten!$N$2:$N$13</c15:sqref>
                        </c15:fullRef>
                        <c15:formulaRef>
                          <c15:sqref>(Daten!$N$2:$N$7,Daten!$N$9:$N$13)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0.748</c:v>
                      </c:pt>
                      <c:pt idx="1">
                        <c:v>0.8</c:v>
                      </c:pt>
                      <c:pt idx="2">
                        <c:v>0.81499999999999995</c:v>
                      </c:pt>
                      <c:pt idx="3">
                        <c:v>0.74399999999999999</c:v>
                      </c:pt>
                      <c:pt idx="4">
                        <c:v>0.91</c:v>
                      </c:pt>
                      <c:pt idx="5">
                        <c:v>0.71</c:v>
                      </c:pt>
                      <c:pt idx="6">
                        <c:v>0.69699999999999995</c:v>
                      </c:pt>
                      <c:pt idx="7">
                        <c:v>0.79400000000000004</c:v>
                      </c:pt>
                      <c:pt idx="8">
                        <c:v>0.72599999999999998</c:v>
                      </c:pt>
                      <c:pt idx="9">
                        <c:v>0.3</c:v>
                      </c:pt>
                      <c:pt idx="10">
                        <c:v>0.873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6ACD-405D-B390-2ADEBAA58F41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Daten!$O$1</c15:sqref>
                        </c15:formulaRef>
                      </c:ext>
                    </c:extLst>
                    <c:strCache>
                      <c:ptCount val="1"/>
                      <c:pt idx="0">
                        <c:v>F1                           (Wirksam)</c:v>
                      </c:pt>
                    </c:strCache>
                  </c:strRef>
                </c:tx>
                <c:spPr>
                  <a:solidFill>
                    <a:schemeClr val="dk1">
                      <a:tint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Daten!$O$2:$O$13</c15:sqref>
                        </c15:fullRef>
                        <c15:formulaRef>
                          <c15:sqref>(Daten!$O$2:$O$7,Daten!$O$9:$O$13)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0.84699999999999998</c:v>
                      </c:pt>
                      <c:pt idx="1">
                        <c:v>0.88</c:v>
                      </c:pt>
                      <c:pt idx="2">
                        <c:v>0.88700000000000001</c:v>
                      </c:pt>
                      <c:pt idx="3">
                        <c:v>0.83899999999999997</c:v>
                      </c:pt>
                      <c:pt idx="4">
                        <c:v>0.93799999999999994</c:v>
                      </c:pt>
                      <c:pt idx="5">
                        <c:v>0.82</c:v>
                      </c:pt>
                      <c:pt idx="6">
                        <c:v>0.81200000000000006</c:v>
                      </c:pt>
                      <c:pt idx="7">
                        <c:v>0.873</c:v>
                      </c:pt>
                      <c:pt idx="8">
                        <c:v>0.83099999999999996</c:v>
                      </c:pt>
                      <c:pt idx="9">
                        <c:v>0.46</c:v>
                      </c:pt>
                      <c:pt idx="10">
                        <c:v>0.91700000000000004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6ACD-405D-B390-2ADEBAA58F41}"/>
                  </c:ext>
                </c:extLst>
              </c15:ser>
            </c15:filteredBarSeries>
            <c15:filteredB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Daten!$P$1</c15:sqref>
                        </c15:formulaRef>
                      </c:ext>
                    </c:extLst>
                    <c:strCache>
                      <c:ptCount val="1"/>
                      <c:pt idx="0">
                        <c:v>F1           (macro)</c:v>
                      </c:pt>
                    </c:strCache>
                  </c:strRef>
                </c:tx>
                <c:spPr>
                  <a:solidFill>
                    <a:schemeClr val="dk1">
                      <a:tint val="885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Daten!$P$2:$P$13</c15:sqref>
                        </c15:fullRef>
                        <c15:formulaRef>
                          <c15:sqref>(Daten!$P$2:$P$7,Daten!$P$9:$P$13)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0.51700000000000002</c:v>
                      </c:pt>
                      <c:pt idx="1">
                        <c:v>0.55000000000000004</c:v>
                      </c:pt>
                      <c:pt idx="2">
                        <c:v>0.54100000000000004</c:v>
                      </c:pt>
                      <c:pt idx="3">
                        <c:v>0.47699999999999998</c:v>
                      </c:pt>
                      <c:pt idx="4">
                        <c:v>0.58199999999999996</c:v>
                      </c:pt>
                      <c:pt idx="5">
                        <c:v>0.48099999999999998</c:v>
                      </c:pt>
                      <c:pt idx="6">
                        <c:v>0.48199999999999998</c:v>
                      </c:pt>
                      <c:pt idx="7">
                        <c:v>0.51900000000000002</c:v>
                      </c:pt>
                      <c:pt idx="8">
                        <c:v>0.49299999999999999</c:v>
                      </c:pt>
                      <c:pt idx="9">
                        <c:v>0.28699999999999998</c:v>
                      </c:pt>
                      <c:pt idx="10">
                        <c:v>0.54400000000000004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6ACD-405D-B390-2ADEBAA58F41}"/>
                  </c:ext>
                </c:extLst>
              </c15:ser>
            </c15:filteredBarSeries>
            <c15:filteredBa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Daten!$Q$1</c15:sqref>
                        </c15:formulaRef>
                      </c:ext>
                    </c:extLst>
                    <c:strCache>
                      <c:ptCount val="1"/>
                      <c:pt idx="0">
                        <c:v>F1                 (weighted)</c:v>
                      </c:pt>
                    </c:strCache>
                  </c:strRef>
                </c:tx>
                <c:spPr>
                  <a:solidFill>
                    <a:schemeClr val="dk1">
                      <a:tint val="5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Daten!$Q$2:$Q$13</c15:sqref>
                        </c15:fullRef>
                        <c15:formulaRef>
                          <c15:sqref>(Daten!$Q$2:$Q$7,Daten!$Q$9:$Q$13)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0.81699999999999995</c:v>
                      </c:pt>
                      <c:pt idx="1">
                        <c:v>0.85</c:v>
                      </c:pt>
                      <c:pt idx="2">
                        <c:v>0.85499999999999998</c:v>
                      </c:pt>
                      <c:pt idx="3">
                        <c:v>0.80600000000000005</c:v>
                      </c:pt>
                      <c:pt idx="4">
                        <c:v>0.90600000000000003</c:v>
                      </c:pt>
                      <c:pt idx="5">
                        <c:v>0.78900000000000003</c:v>
                      </c:pt>
                      <c:pt idx="6">
                        <c:v>0.78200000000000003</c:v>
                      </c:pt>
                      <c:pt idx="7">
                        <c:v>0.84099999999999997</c:v>
                      </c:pt>
                      <c:pt idx="8">
                        <c:v>0.8</c:v>
                      </c:pt>
                      <c:pt idx="9">
                        <c:v>0.44400000000000001</c:v>
                      </c:pt>
                      <c:pt idx="10">
                        <c:v>0.88300000000000001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6ACD-405D-B390-2ADEBAA58F41}"/>
                  </c:ext>
                </c:extLst>
              </c15:ser>
            </c15:filteredBarSeries>
            <c15:filteredBa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Daten!$R$1</c15:sqref>
                        </c15:formulaRef>
                      </c:ext>
                    </c:extLst>
                    <c:strCache>
                      <c:ptCount val="1"/>
                      <c:pt idx="0">
                        <c:v>Precision       Macro</c:v>
                      </c:pt>
                    </c:strCache>
                  </c:strRef>
                </c:tx>
                <c:spPr>
                  <a:solidFill>
                    <a:schemeClr val="dk1">
                      <a:tint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Daten!$R$2:$R$13</c15:sqref>
                        </c15:fullRef>
                        <c15:formulaRef>
                          <c15:sqref>(Daten!$R$2:$R$7,Daten!$R$9:$R$13)</c15:sqref>
                        </c15:formulaRef>
                      </c:ext>
                    </c:extLst>
                    <c:numCache>
                      <c:formatCode>0.000</c:formatCode>
                      <c:ptCount val="11"/>
                      <c:pt idx="0">
                        <c:v>0.54349999999999998</c:v>
                      </c:pt>
                      <c:pt idx="1">
                        <c:v>0.55549999999999999</c:v>
                      </c:pt>
                      <c:pt idx="2">
                        <c:v>0.54649999999999999</c:v>
                      </c:pt>
                      <c:pt idx="3">
                        <c:v>0.51500000000000001</c:v>
                      </c:pt>
                      <c:pt idx="4">
                        <c:v>0.5655</c:v>
                      </c:pt>
                      <c:pt idx="5">
                        <c:v>0.52600000000000002</c:v>
                      </c:pt>
                      <c:pt idx="6">
                        <c:v>0.53049999999999997</c:v>
                      </c:pt>
                      <c:pt idx="7">
                        <c:v>0.53500000000000003</c:v>
                      </c:pt>
                      <c:pt idx="8">
                        <c:v>0.53049999999999997</c:v>
                      </c:pt>
                      <c:pt idx="9">
                        <c:v>0.52549999999999997</c:v>
                      </c:pt>
                      <c:pt idx="10">
                        <c:v>0.53949999999999998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6ACD-405D-B390-2ADEBAA58F41}"/>
                  </c:ext>
                </c:extLst>
              </c15:ser>
            </c15:filteredBarSeries>
            <c15:filteredBa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Daten!$S$1</c15:sqref>
                        </c15:formulaRef>
                      </c:ext>
                    </c:extLst>
                    <c:strCache>
                      <c:ptCount val="1"/>
                      <c:pt idx="0">
                        <c:v> Prec                 Micro</c:v>
                      </c:pt>
                    </c:strCache>
                  </c:strRef>
                </c:tx>
                <c:spPr>
                  <a:solidFill>
                    <a:schemeClr val="dk1">
                      <a:tint val="985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Daten!$S$2:$S$13</c15:sqref>
                        </c15:fullRef>
                        <c15:formulaRef>
                          <c15:sqref>(Daten!$S$2:$S$7,Daten!$S$9:$S$13)</c15:sqref>
                        </c15:formulaRef>
                      </c:ext>
                    </c:extLst>
                    <c:numCache>
                      <c:formatCode>0.000</c:formatCode>
                      <c:ptCount val="11"/>
                      <c:pt idx="0">
                        <c:v>0.10877626699629171</c:v>
                      </c:pt>
                      <c:pt idx="1">
                        <c:v>0.13242009132420091</c:v>
                      </c:pt>
                      <c:pt idx="2">
                        <c:v>0.11960132890365449</c:v>
                      </c:pt>
                      <c:pt idx="3">
                        <c:v>6.734434561626429E-2</c:v>
                      </c:pt>
                      <c:pt idx="4">
                        <c:v>0.16339869281045752</c:v>
                      </c:pt>
                      <c:pt idx="5">
                        <c:v>8.185840707964602E-2</c:v>
                      </c:pt>
                      <c:pt idx="6">
                        <c:v>8.6680761099365747E-2</c:v>
                      </c:pt>
                      <c:pt idx="7">
                        <c:v>9.9540581929555894E-2</c:v>
                      </c:pt>
                      <c:pt idx="8">
                        <c:v>8.9327146171693739E-2</c:v>
                      </c:pt>
                      <c:pt idx="9">
                        <c:v>6.0093896713615022E-2</c:v>
                      </c:pt>
                      <c:pt idx="10">
                        <c:v>0.11435523114355231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6ACD-405D-B390-2ADEBAA58F41}"/>
                  </c:ext>
                </c:extLst>
              </c15:ser>
            </c15:filteredBarSeries>
            <c15:filteredBa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Daten!$T$1</c15:sqref>
                        </c15:formulaRef>
                      </c:ext>
                    </c:extLst>
                    <c:strCache>
                      <c:ptCount val="1"/>
                      <c:pt idx="0">
                        <c:v>Recall</c:v>
                      </c:pt>
                    </c:strCache>
                  </c:strRef>
                </c:tx>
                <c:spPr>
                  <a:solidFill>
                    <a:schemeClr val="dk1">
                      <a:tint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Daten!$T$2:$T$13</c15:sqref>
                        </c15:fullRef>
                        <c15:formulaRef>
                          <c15:sqref>(Daten!$T$2:$T$7,Daten!$T$9:$T$13)</c15:sqref>
                        </c15:formulaRef>
                      </c:ext>
                    </c:extLst>
                    <c:numCache>
                      <c:formatCode>0.000</c:formatCode>
                      <c:ptCount val="11"/>
                      <c:pt idx="0">
                        <c:v>0.64233576642335766</c:v>
                      </c:pt>
                      <c:pt idx="1">
                        <c:v>0.63503649635036497</c:v>
                      </c:pt>
                      <c:pt idx="2">
                        <c:v>0.52554744525547448</c:v>
                      </c:pt>
                      <c:pt idx="3">
                        <c:v>0.38970588235294118</c:v>
                      </c:pt>
                      <c:pt idx="4">
                        <c:v>0.36764705882352944</c:v>
                      </c:pt>
                      <c:pt idx="5">
                        <c:v>0.54014598540145986</c:v>
                      </c:pt>
                      <c:pt idx="6">
                        <c:v>0.6029411764705882</c:v>
                      </c:pt>
                      <c:pt idx="7">
                        <c:v>0.47794117647058826</c:v>
                      </c:pt>
                      <c:pt idx="8">
                        <c:v>0.56204379562043794</c:v>
                      </c:pt>
                      <c:pt idx="9">
                        <c:v>0.94117647058823528</c:v>
                      </c:pt>
                      <c:pt idx="10">
                        <c:v>0.34306569343065696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6ACD-405D-B390-2ADEBAA58F41}"/>
                  </c:ext>
                </c:extLst>
              </c15:ser>
            </c15:filteredBarSeries>
            <c15:filteredBa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Daten!$U$1</c15:sqref>
                        </c15:formulaRef>
                      </c:ext>
                    </c:extLst>
                    <c:strCache>
                      <c:ptCount val="1"/>
                      <c:pt idx="0">
                        <c:v>Prec</c:v>
                      </c:pt>
                    </c:strCache>
                  </c:strRef>
                </c:tx>
                <c:spPr>
                  <a:solidFill>
                    <a:schemeClr val="dk1">
                      <a:tint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Daten!$U$2:$U$13</c15:sqref>
                        </c15:fullRef>
                        <c15:formulaRef>
                          <c15:sqref>(Daten!$U$2:$U$7,Daten!$U$9:$U$13)</c15:sqref>
                        </c15:formulaRef>
                      </c:ext>
                    </c:extLst>
                    <c:numCache>
                      <c:formatCode>0.000</c:formatCode>
                      <c:ptCount val="11"/>
                      <c:pt idx="0">
                        <c:v>0.10877626699629171</c:v>
                      </c:pt>
                      <c:pt idx="1">
                        <c:v>0.13242009132420091</c:v>
                      </c:pt>
                      <c:pt idx="2">
                        <c:v>0.11960132890365449</c:v>
                      </c:pt>
                      <c:pt idx="3">
                        <c:v>6.734434561626429E-2</c:v>
                      </c:pt>
                      <c:pt idx="4">
                        <c:v>0.16339869281045752</c:v>
                      </c:pt>
                      <c:pt idx="5">
                        <c:v>8.185840707964602E-2</c:v>
                      </c:pt>
                      <c:pt idx="6">
                        <c:v>8.6680761099365747E-2</c:v>
                      </c:pt>
                      <c:pt idx="7">
                        <c:v>9.9540581929555894E-2</c:v>
                      </c:pt>
                      <c:pt idx="8">
                        <c:v>8.9327146171693739E-2</c:v>
                      </c:pt>
                      <c:pt idx="9">
                        <c:v>6.0093896713615022E-2</c:v>
                      </c:pt>
                      <c:pt idx="10">
                        <c:v>0.11435523114355231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6ACD-405D-B390-2ADEBAA58F41}"/>
                  </c:ext>
                </c:extLst>
              </c15:ser>
            </c15:filteredBarSeries>
            <c15:filteredBa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Daten!$V$1</c15:sqref>
                        </c15:formulaRef>
                      </c:ext>
                    </c:extLst>
                    <c:strCache>
                      <c:ptCount val="1"/>
                      <c:pt idx="0">
                        <c:v>F1</c:v>
                      </c:pt>
                    </c:strCache>
                  </c:strRef>
                </c:tx>
                <c:spPr>
                  <a:solidFill>
                    <a:schemeClr val="dk1">
                      <a:tint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Daten!$V$2:$V$13</c15:sqref>
                        </c15:fullRef>
                        <c15:formulaRef>
                          <c15:sqref>(Daten!$V$2:$V$7,Daten!$V$9:$V$13)</c15:sqref>
                        </c15:formulaRef>
                      </c:ext>
                    </c:extLst>
                    <c:numCache>
                      <c:formatCode>0.000</c:formatCode>
                      <c:ptCount val="11"/>
                      <c:pt idx="0">
                        <c:v>0.18604651162790695</c:v>
                      </c:pt>
                      <c:pt idx="1">
                        <c:v>0.21914357682619648</c:v>
                      </c:pt>
                      <c:pt idx="2">
                        <c:v>0.19485791610284167</c:v>
                      </c:pt>
                      <c:pt idx="3">
                        <c:v>0.11484290357529793</c:v>
                      </c:pt>
                      <c:pt idx="4">
                        <c:v>0.22624434389140272</c:v>
                      </c:pt>
                      <c:pt idx="5">
                        <c:v>0.14217098943323728</c:v>
                      </c:pt>
                      <c:pt idx="6">
                        <c:v>0.15157116451016636</c:v>
                      </c:pt>
                      <c:pt idx="7">
                        <c:v>0.16476552598225602</c:v>
                      </c:pt>
                      <c:pt idx="8">
                        <c:v>0.15415415415415418</c:v>
                      </c:pt>
                      <c:pt idx="9">
                        <c:v>0.11297440423654015</c:v>
                      </c:pt>
                      <c:pt idx="10">
                        <c:v>0.17153284671532848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6ACD-405D-B390-2ADEBAA58F41}"/>
                  </c:ext>
                </c:extLst>
              </c15:ser>
            </c15:filteredBarSeries>
          </c:ext>
        </c:extLst>
      </c:barChart>
      <c:catAx>
        <c:axId val="110115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01152736"/>
        <c:crosses val="autoZero"/>
        <c:auto val="1"/>
        <c:lblAlgn val="ctr"/>
        <c:lblOffset val="100"/>
        <c:noMultiLvlLbl val="0"/>
      </c:catAx>
      <c:valAx>
        <c:axId val="110115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01157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FP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5"/>
          <c:tx>
            <c:strRef>
              <c:f>Daten!$G$1</c:f>
              <c:strCache>
                <c:ptCount val="1"/>
                <c:pt idx="0">
                  <c:v>FP</c:v>
                </c:pt>
              </c:strCache>
            </c:strRef>
          </c:tx>
          <c:spPr>
            <a:solidFill>
              <a:schemeClr val="dk1">
                <a:tint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Daten!$A$2:$A$13</c15:sqref>
                  </c15:fullRef>
                </c:ext>
              </c:extLst>
              <c:f>(Daten!$A$2:$A$7,Daten!$A$9:$A$13)</c:f>
              <c:strCache>
                <c:ptCount val="11"/>
                <c:pt idx="0">
                  <c:v>Grok-3</c:v>
                </c:pt>
                <c:pt idx="1">
                  <c:v>GPT5</c:v>
                </c:pt>
                <c:pt idx="2">
                  <c:v>GPT4</c:v>
                </c:pt>
                <c:pt idx="3">
                  <c:v>OSS120B</c:v>
                </c:pt>
                <c:pt idx="4">
                  <c:v>GPT o4-mini</c:v>
                </c:pt>
                <c:pt idx="5">
                  <c:v>DeepseekR1</c:v>
                </c:pt>
                <c:pt idx="6">
                  <c:v>Gemma27B</c:v>
                </c:pt>
                <c:pt idx="7">
                  <c:v>Mistral8B</c:v>
                </c:pt>
                <c:pt idx="8">
                  <c:v>LLama38B</c:v>
                </c:pt>
                <c:pt idx="9">
                  <c:v>Llama3DiscoLeo8B</c:v>
                </c:pt>
                <c:pt idx="10">
                  <c:v>GeminiFlashLite2.5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Daten!$G$2:$G$13</c15:sqref>
                  </c15:fullRef>
                </c:ext>
              </c:extLst>
              <c:f>(Daten!$G$2:$G$7,Daten!$G$9:$G$13)</c:f>
              <c:numCache>
                <c:formatCode>General</c:formatCode>
                <c:ptCount val="11"/>
                <c:pt idx="0">
                  <c:v>721</c:v>
                </c:pt>
                <c:pt idx="1">
                  <c:v>570</c:v>
                </c:pt>
                <c:pt idx="2">
                  <c:v>530</c:v>
                </c:pt>
                <c:pt idx="3">
                  <c:v>734</c:v>
                </c:pt>
                <c:pt idx="4">
                  <c:v>256</c:v>
                </c:pt>
                <c:pt idx="5">
                  <c:v>830</c:v>
                </c:pt>
                <c:pt idx="6">
                  <c:v>864</c:v>
                </c:pt>
                <c:pt idx="7">
                  <c:v>588</c:v>
                </c:pt>
                <c:pt idx="8">
                  <c:v>785</c:v>
                </c:pt>
                <c:pt idx="9">
                  <c:v>2002</c:v>
                </c:pt>
                <c:pt idx="10">
                  <c:v>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A9-4864-8DD8-B1451B4C42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1157056"/>
        <c:axId val="110115273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Daten!$B$1</c15:sqref>
                        </c15:formulaRef>
                      </c:ext>
                    </c:extLst>
                    <c:strCache>
                      <c:ptCount val="1"/>
                      <c:pt idx="0">
                        <c:v>Gesamtanzahl</c:v>
                      </c:pt>
                    </c:strCache>
                  </c:strRef>
                </c:tx>
                <c:spPr>
                  <a:solidFill>
                    <a:schemeClr val="dk1">
                      <a:tint val="885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Daten!$B$2:$B$13</c15:sqref>
                        </c15:fullRef>
                        <c15:formulaRef>
                          <c15:sqref>(Daten!$B$2:$B$7,Daten!$B$9:$B$13)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3004</c:v>
                      </c:pt>
                      <c:pt idx="1">
                        <c:v>3004</c:v>
                      </c:pt>
                      <c:pt idx="2">
                        <c:v>3004</c:v>
                      </c:pt>
                      <c:pt idx="3">
                        <c:v>3004</c:v>
                      </c:pt>
                      <c:pt idx="4">
                        <c:v>3004</c:v>
                      </c:pt>
                      <c:pt idx="5">
                        <c:v>3004</c:v>
                      </c:pt>
                      <c:pt idx="6">
                        <c:v>3004</c:v>
                      </c:pt>
                      <c:pt idx="7">
                        <c:v>3004</c:v>
                      </c:pt>
                      <c:pt idx="8">
                        <c:v>3004</c:v>
                      </c:pt>
                      <c:pt idx="9">
                        <c:v>3004</c:v>
                      </c:pt>
                      <c:pt idx="10">
                        <c:v>3004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1EA9-4864-8DD8-B1451B4C4296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Daten!$C$1</c15:sqref>
                        </c15:formulaRef>
                      </c:ext>
                    </c:extLst>
                    <c:strCache>
                      <c:ptCount val="1"/>
                      <c:pt idx="0">
                        <c:v>Anzahl_Klassifikationen</c:v>
                      </c:pt>
                    </c:strCache>
                  </c:strRef>
                </c:tx>
                <c:spPr>
                  <a:solidFill>
                    <a:schemeClr val="dk1">
                      <a:tint val="5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Daten!$C$2:$C$13</c15:sqref>
                        </c15:fullRef>
                        <c15:formulaRef>
                          <c15:sqref>(Daten!$C$2:$C$7,Daten!$C$9:$C$13)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2996</c:v>
                      </c:pt>
                      <c:pt idx="1">
                        <c:v>2990</c:v>
                      </c:pt>
                      <c:pt idx="2">
                        <c:v>2998</c:v>
                      </c:pt>
                      <c:pt idx="3">
                        <c:v>3002</c:v>
                      </c:pt>
                      <c:pt idx="4">
                        <c:v>2996</c:v>
                      </c:pt>
                      <c:pt idx="5">
                        <c:v>2998</c:v>
                      </c:pt>
                      <c:pt idx="6">
                        <c:v>2989</c:v>
                      </c:pt>
                      <c:pt idx="7">
                        <c:v>2996</c:v>
                      </c:pt>
                      <c:pt idx="8">
                        <c:v>3002</c:v>
                      </c:pt>
                      <c:pt idx="9">
                        <c:v>2995</c:v>
                      </c:pt>
                      <c:pt idx="10">
                        <c:v>3000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EA9-4864-8DD8-B1451B4C4296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Daten!$D$1</c15:sqref>
                        </c15:formulaRef>
                      </c:ext>
                    </c:extLst>
                    <c:strCache>
                      <c:ptCount val="1"/>
                      <c:pt idx="0">
                        <c:v>Fehlende ('-'/NaN/leer)</c:v>
                      </c:pt>
                    </c:strCache>
                  </c:strRef>
                </c:tx>
                <c:spPr>
                  <a:solidFill>
                    <a:schemeClr val="dk1">
                      <a:tint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Daten!$D$2:$D$13</c15:sqref>
                        </c15:fullRef>
                        <c15:formulaRef>
                          <c15:sqref>(Daten!$D$2:$D$7,Daten!$D$9:$D$13)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8</c:v>
                      </c:pt>
                      <c:pt idx="1">
                        <c:v>14</c:v>
                      </c:pt>
                      <c:pt idx="2">
                        <c:v>6</c:v>
                      </c:pt>
                      <c:pt idx="3">
                        <c:v>2</c:v>
                      </c:pt>
                      <c:pt idx="4">
                        <c:v>8</c:v>
                      </c:pt>
                      <c:pt idx="5">
                        <c:v>6</c:v>
                      </c:pt>
                      <c:pt idx="6">
                        <c:v>15</c:v>
                      </c:pt>
                      <c:pt idx="7">
                        <c:v>8</c:v>
                      </c:pt>
                      <c:pt idx="8">
                        <c:v>2</c:v>
                      </c:pt>
                      <c:pt idx="9">
                        <c:v>9</c:v>
                      </c:pt>
                      <c:pt idx="10">
                        <c:v>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EA9-4864-8DD8-B1451B4C429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Daten!$E$1</c15:sqref>
                        </c15:formulaRef>
                      </c:ext>
                    </c:extLst>
                    <c:strCache>
                      <c:ptCount val="1"/>
                      <c:pt idx="0">
                        <c:v>Accuracy (bereinigt)</c:v>
                      </c:pt>
                    </c:strCache>
                  </c:strRef>
                </c:tx>
                <c:spPr>
                  <a:solidFill>
                    <a:schemeClr val="dk1">
                      <a:tint val="985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Daten!$E$2:$E$13</c15:sqref>
                        </c15:fullRef>
                        <c15:formulaRef>
                          <c15:sqref>(Daten!$E$2:$E$7,Daten!$E$9:$E$13)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0.74299999999999999</c:v>
                      </c:pt>
                      <c:pt idx="1">
                        <c:v>0.79300000000000004</c:v>
                      </c:pt>
                      <c:pt idx="2">
                        <c:v>0.80200000000000005</c:v>
                      </c:pt>
                      <c:pt idx="3">
                        <c:v>0.72799999999999998</c:v>
                      </c:pt>
                      <c:pt idx="4">
                        <c:v>0.88600000000000001</c:v>
                      </c:pt>
                      <c:pt idx="5">
                        <c:v>0.70199999999999996</c:v>
                      </c:pt>
                      <c:pt idx="6">
                        <c:v>0.69299999999999995</c:v>
                      </c:pt>
                      <c:pt idx="7">
                        <c:v>0.78</c:v>
                      </c:pt>
                      <c:pt idx="8">
                        <c:v>0.71899999999999997</c:v>
                      </c:pt>
                      <c:pt idx="9">
                        <c:v>0.32900000000000001</c:v>
                      </c:pt>
                      <c:pt idx="10">
                        <c:v>0.84899999999999998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EA9-4864-8DD8-B1451B4C4296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Daten!$F$1</c15:sqref>
                        </c15:formulaRef>
                      </c:ext>
                    </c:extLst>
                    <c:strCache>
                      <c:ptCount val="1"/>
                      <c:pt idx="0">
                        <c:v>TP</c:v>
                      </c:pt>
                    </c:strCache>
                  </c:strRef>
                </c:tx>
                <c:spPr>
                  <a:solidFill>
                    <a:schemeClr val="dk1">
                      <a:tint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Daten!$F$2:$F$13</c15:sqref>
                        </c15:fullRef>
                        <c15:formulaRef>
                          <c15:sqref>(Daten!$F$2:$F$7,Daten!$F$9:$F$13)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88</c:v>
                      </c:pt>
                      <c:pt idx="1">
                        <c:v>87</c:v>
                      </c:pt>
                      <c:pt idx="2">
                        <c:v>72</c:v>
                      </c:pt>
                      <c:pt idx="3">
                        <c:v>53</c:v>
                      </c:pt>
                      <c:pt idx="4">
                        <c:v>50</c:v>
                      </c:pt>
                      <c:pt idx="5">
                        <c:v>74</c:v>
                      </c:pt>
                      <c:pt idx="6">
                        <c:v>82</c:v>
                      </c:pt>
                      <c:pt idx="7">
                        <c:v>65</c:v>
                      </c:pt>
                      <c:pt idx="8">
                        <c:v>77</c:v>
                      </c:pt>
                      <c:pt idx="9">
                        <c:v>128</c:v>
                      </c:pt>
                      <c:pt idx="10">
                        <c:v>47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EA9-4864-8DD8-B1451B4C429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Daten!$H$1</c15:sqref>
                        </c15:formulaRef>
                      </c:ext>
                    </c:extLst>
                    <c:strCache>
                      <c:ptCount val="1"/>
                      <c:pt idx="0">
                        <c:v>FN</c:v>
                      </c:pt>
                    </c:strCache>
                  </c:strRef>
                </c:tx>
                <c:spPr>
                  <a:solidFill>
                    <a:schemeClr val="dk1">
                      <a:tint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Daten!$H$2:$H$13</c15:sqref>
                        </c15:fullRef>
                        <c15:formulaRef>
                          <c15:sqref>(Daten!$H$2:$H$7,Daten!$H$9:$H$13)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49</c:v>
                      </c:pt>
                      <c:pt idx="1">
                        <c:v>50</c:v>
                      </c:pt>
                      <c:pt idx="2">
                        <c:v>65</c:v>
                      </c:pt>
                      <c:pt idx="3">
                        <c:v>83</c:v>
                      </c:pt>
                      <c:pt idx="4">
                        <c:v>86</c:v>
                      </c:pt>
                      <c:pt idx="5">
                        <c:v>63</c:v>
                      </c:pt>
                      <c:pt idx="6">
                        <c:v>54</c:v>
                      </c:pt>
                      <c:pt idx="7">
                        <c:v>71</c:v>
                      </c:pt>
                      <c:pt idx="8">
                        <c:v>60</c:v>
                      </c:pt>
                      <c:pt idx="9">
                        <c:v>8</c:v>
                      </c:pt>
                      <c:pt idx="10">
                        <c:v>90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1EA9-4864-8DD8-B1451B4C4296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Daten!$I$1</c15:sqref>
                        </c15:formulaRef>
                      </c:ext>
                    </c:extLst>
                    <c:strCache>
                      <c:ptCount val="1"/>
                      <c:pt idx="0">
                        <c:v>TN</c:v>
                      </c:pt>
                    </c:strCache>
                  </c:strRef>
                </c:tx>
                <c:spPr>
                  <a:solidFill>
                    <a:schemeClr val="dk1">
                      <a:tint val="885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Daten!$A$2:$A$13</c15:sqref>
                        </c15:fullRef>
                        <c15:formulaRef>
                          <c15:sqref>(Daten!$A$2:$A$7,Daten!$A$9:$A$13)</c15:sqref>
                        </c15:formulaRef>
                      </c:ext>
                    </c:extLst>
                    <c:strCache>
                      <c:ptCount val="11"/>
                      <c:pt idx="0">
                        <c:v>Grok-3</c:v>
                      </c:pt>
                      <c:pt idx="1">
                        <c:v>GPT5</c:v>
                      </c:pt>
                      <c:pt idx="2">
                        <c:v>GPT4</c:v>
                      </c:pt>
                      <c:pt idx="3">
                        <c:v>OSS120B</c:v>
                      </c:pt>
                      <c:pt idx="4">
                        <c:v>GPT o4-mini</c:v>
                      </c:pt>
                      <c:pt idx="5">
                        <c:v>DeepseekR1</c:v>
                      </c:pt>
                      <c:pt idx="6">
                        <c:v>Gemma27B</c:v>
                      </c:pt>
                      <c:pt idx="7">
                        <c:v>Mistral8B</c:v>
                      </c:pt>
                      <c:pt idx="8">
                        <c:v>LLama38B</c:v>
                      </c:pt>
                      <c:pt idx="9">
                        <c:v>Llama3DiscoLeo8B</c:v>
                      </c:pt>
                      <c:pt idx="10">
                        <c:v>GeminiFlashLite2.5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Daten!$I$2:$I$13</c15:sqref>
                        </c15:fullRef>
                        <c15:formulaRef>
                          <c15:sqref>(Daten!$I$2:$I$7,Daten!$I$9:$I$13)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2138</c:v>
                      </c:pt>
                      <c:pt idx="1">
                        <c:v>2283</c:v>
                      </c:pt>
                      <c:pt idx="2">
                        <c:v>2331</c:v>
                      </c:pt>
                      <c:pt idx="3">
                        <c:v>2132</c:v>
                      </c:pt>
                      <c:pt idx="4">
                        <c:v>2604</c:v>
                      </c:pt>
                      <c:pt idx="5">
                        <c:v>2031</c:v>
                      </c:pt>
                      <c:pt idx="6">
                        <c:v>1989</c:v>
                      </c:pt>
                      <c:pt idx="7">
                        <c:v>2272</c:v>
                      </c:pt>
                      <c:pt idx="8">
                        <c:v>2080</c:v>
                      </c:pt>
                      <c:pt idx="9">
                        <c:v>857</c:v>
                      </c:pt>
                      <c:pt idx="10">
                        <c:v>2499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1EA9-4864-8DD8-B1451B4C4296}"/>
                  </c:ext>
                </c:extLst>
              </c15:ser>
            </c15:filteredBarSeries>
          </c:ext>
        </c:extLst>
      </c:barChart>
      <c:catAx>
        <c:axId val="110115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01152736"/>
        <c:crosses val="autoZero"/>
        <c:auto val="1"/>
        <c:lblAlgn val="ctr"/>
        <c:lblOffset val="100"/>
        <c:noMultiLvlLbl val="0"/>
      </c:catAx>
      <c:valAx>
        <c:axId val="110115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01157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9.xml"/><Relationship Id="rId3" Type="http://schemas.openxmlformats.org/officeDocument/2006/relationships/chart" Target="../charts/chart24.xml"/><Relationship Id="rId7" Type="http://schemas.openxmlformats.org/officeDocument/2006/relationships/chart" Target="../charts/chart28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6" Type="http://schemas.openxmlformats.org/officeDocument/2006/relationships/chart" Target="../charts/chart27.xml"/><Relationship Id="rId5" Type="http://schemas.openxmlformats.org/officeDocument/2006/relationships/chart" Target="../charts/chart26.xml"/><Relationship Id="rId10" Type="http://schemas.openxmlformats.org/officeDocument/2006/relationships/chart" Target="../charts/chart31.xml"/><Relationship Id="rId4" Type="http://schemas.openxmlformats.org/officeDocument/2006/relationships/chart" Target="../charts/chart25.xml"/><Relationship Id="rId9" Type="http://schemas.openxmlformats.org/officeDocument/2006/relationships/chart" Target="../charts/chart3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6</xdr:col>
      <xdr:colOff>607151</xdr:colOff>
      <xdr:row>15</xdr:row>
      <xdr:rowOff>154033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929EF5CD-D7D4-4CB8-A28A-A451E1C486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</xdr:row>
      <xdr:rowOff>0</xdr:rowOff>
    </xdr:from>
    <xdr:to>
      <xdr:col>13</xdr:col>
      <xdr:colOff>607151</xdr:colOff>
      <xdr:row>15</xdr:row>
      <xdr:rowOff>154033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FE18C07A-C7F8-4236-9520-FCD1B2677F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37913</xdr:colOff>
      <xdr:row>17</xdr:row>
      <xdr:rowOff>164675</xdr:rowOff>
    </xdr:from>
    <xdr:to>
      <xdr:col>6</xdr:col>
      <xdr:colOff>641059</xdr:colOff>
      <xdr:row>32</xdr:row>
      <xdr:rowOff>138015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ECF41C02-8DE2-4D2F-B4D3-1586E7D6D8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45461</xdr:colOff>
      <xdr:row>17</xdr:row>
      <xdr:rowOff>128242</xdr:rowOff>
    </xdr:from>
    <xdr:to>
      <xdr:col>19</xdr:col>
      <xdr:colOff>661465</xdr:colOff>
      <xdr:row>32</xdr:row>
      <xdr:rowOff>118618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D59DD867-AEAE-4484-98C8-F675810BF5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59375</xdr:colOff>
      <xdr:row>37</xdr:row>
      <xdr:rowOff>17319</xdr:rowOff>
    </xdr:from>
    <xdr:to>
      <xdr:col>25</xdr:col>
      <xdr:colOff>659105</xdr:colOff>
      <xdr:row>52</xdr:row>
      <xdr:rowOff>74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DB3A130E-7414-48E1-A8DE-8A95125A3D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45</xdr:col>
      <xdr:colOff>204803</xdr:colOff>
      <xdr:row>38</xdr:row>
      <xdr:rowOff>30430</xdr:rowOff>
    </xdr:from>
    <xdr:to>
      <xdr:col>51</xdr:col>
      <xdr:colOff>11854</xdr:colOff>
      <xdr:row>53</xdr:row>
      <xdr:rowOff>15090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2B29BE21-3CA2-4C69-9494-D389062E5C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32</xdr:col>
      <xdr:colOff>500685</xdr:colOff>
      <xdr:row>36</xdr:row>
      <xdr:rowOff>159602</xdr:rowOff>
    </xdr:from>
    <xdr:to>
      <xdr:col>38</xdr:col>
      <xdr:colOff>318621</xdr:colOff>
      <xdr:row>51</xdr:row>
      <xdr:rowOff>140948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703F8E6A-7E8C-4152-8FDC-76B16598CB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26</xdr:col>
      <xdr:colOff>183777</xdr:colOff>
      <xdr:row>54</xdr:row>
      <xdr:rowOff>63090</xdr:rowOff>
    </xdr:from>
    <xdr:to>
      <xdr:col>31</xdr:col>
      <xdr:colOff>789023</xdr:colOff>
      <xdr:row>69</xdr:row>
      <xdr:rowOff>39561</xdr:rowOff>
    </xdr:to>
    <xdr:graphicFrame macro="">
      <xdr:nvGraphicFramePr>
        <xdr:cNvPr id="9" name="Diagramm 8">
          <a:extLst>
            <a:ext uri="{FF2B5EF4-FFF2-40B4-BE49-F238E27FC236}">
              <a16:creationId xmlns:a16="http://schemas.microsoft.com/office/drawing/2014/main" id="{658909B8-A093-4333-A30D-32DF23644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20</xdr:col>
      <xdr:colOff>22412</xdr:colOff>
      <xdr:row>54</xdr:row>
      <xdr:rowOff>19050</xdr:rowOff>
    </xdr:from>
    <xdr:to>
      <xdr:col>25</xdr:col>
      <xdr:colOff>638416</xdr:colOff>
      <xdr:row>69</xdr:row>
      <xdr:rowOff>125</xdr:rowOff>
    </xdr:to>
    <xdr:graphicFrame macro="">
      <xdr:nvGraphicFramePr>
        <xdr:cNvPr id="10" name="Diagramm 9">
          <a:extLst>
            <a:ext uri="{FF2B5EF4-FFF2-40B4-BE49-F238E27FC236}">
              <a16:creationId xmlns:a16="http://schemas.microsoft.com/office/drawing/2014/main" id="{3E78F02F-B017-479B-9BFC-6A56F3F667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39</xdr:col>
      <xdr:colOff>205068</xdr:colOff>
      <xdr:row>55</xdr:row>
      <xdr:rowOff>38548</xdr:rowOff>
    </xdr:from>
    <xdr:to>
      <xdr:col>45</xdr:col>
      <xdr:colOff>35667</xdr:colOff>
      <xdr:row>70</xdr:row>
      <xdr:rowOff>23209</xdr:rowOff>
    </xdr:to>
    <xdr:graphicFrame macro="">
      <xdr:nvGraphicFramePr>
        <xdr:cNvPr id="11" name="Diagramm 10">
          <a:extLst>
            <a:ext uri="{FF2B5EF4-FFF2-40B4-BE49-F238E27FC236}">
              <a16:creationId xmlns:a16="http://schemas.microsoft.com/office/drawing/2014/main" id="{AD9E3FC4-13CB-4C77-A103-A476DC8572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26</xdr:col>
      <xdr:colOff>161636</xdr:colOff>
      <xdr:row>17</xdr:row>
      <xdr:rowOff>57727</xdr:rowOff>
    </xdr:from>
    <xdr:to>
      <xdr:col>31</xdr:col>
      <xdr:colOff>771710</xdr:colOff>
      <xdr:row>32</xdr:row>
      <xdr:rowOff>31067</xdr:rowOff>
    </xdr:to>
    <xdr:graphicFrame macro="">
      <xdr:nvGraphicFramePr>
        <xdr:cNvPr id="12" name="Diagramm 11">
          <a:extLst>
            <a:ext uri="{FF2B5EF4-FFF2-40B4-BE49-F238E27FC236}">
              <a16:creationId xmlns:a16="http://schemas.microsoft.com/office/drawing/2014/main" id="{676D73D3-352E-429A-9738-7128B4643A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20</xdr:col>
      <xdr:colOff>0</xdr:colOff>
      <xdr:row>17</xdr:row>
      <xdr:rowOff>34636</xdr:rowOff>
    </xdr:from>
    <xdr:to>
      <xdr:col>25</xdr:col>
      <xdr:colOff>616004</xdr:colOff>
      <xdr:row>32</xdr:row>
      <xdr:rowOff>25012</xdr:rowOff>
    </xdr:to>
    <xdr:graphicFrame macro="">
      <xdr:nvGraphicFramePr>
        <xdr:cNvPr id="13" name="Diagramm 12">
          <a:extLst>
            <a:ext uri="{FF2B5EF4-FFF2-40B4-BE49-F238E27FC236}">
              <a16:creationId xmlns:a16="http://schemas.microsoft.com/office/drawing/2014/main" id="{37F2F5BA-9EA2-4694-875C-CAA4E0B507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26</xdr:col>
      <xdr:colOff>258536</xdr:colOff>
      <xdr:row>37</xdr:row>
      <xdr:rowOff>27214</xdr:rowOff>
    </xdr:from>
    <xdr:to>
      <xdr:col>32</xdr:col>
      <xdr:colOff>69051</xdr:colOff>
      <xdr:row>52</xdr:row>
      <xdr:rowOff>9969</xdr:rowOff>
    </xdr:to>
    <xdr:graphicFrame macro="">
      <xdr:nvGraphicFramePr>
        <xdr:cNvPr id="14" name="Diagramm 13">
          <a:extLst>
            <a:ext uri="{FF2B5EF4-FFF2-40B4-BE49-F238E27FC236}">
              <a16:creationId xmlns:a16="http://schemas.microsoft.com/office/drawing/2014/main" id="{6C3D1B6F-0532-49F3-B1EE-93A975C66A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0</xdr:colOff>
      <xdr:row>18</xdr:row>
      <xdr:rowOff>0</xdr:rowOff>
    </xdr:from>
    <xdr:to>
      <xdr:col>13</xdr:col>
      <xdr:colOff>607151</xdr:colOff>
      <xdr:row>32</xdr:row>
      <xdr:rowOff>154033</xdr:rowOff>
    </xdr:to>
    <xdr:graphicFrame macro="">
      <xdr:nvGraphicFramePr>
        <xdr:cNvPr id="15" name="Diagramm 14">
          <a:extLst>
            <a:ext uri="{FF2B5EF4-FFF2-40B4-BE49-F238E27FC236}">
              <a16:creationId xmlns:a16="http://schemas.microsoft.com/office/drawing/2014/main" id="{DCBFD133-918D-4DC2-88B3-CDEE213DF7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</xdr:col>
      <xdr:colOff>0</xdr:colOff>
      <xdr:row>37</xdr:row>
      <xdr:rowOff>0</xdr:rowOff>
    </xdr:from>
    <xdr:to>
      <xdr:col>13</xdr:col>
      <xdr:colOff>607152</xdr:colOff>
      <xdr:row>51</xdr:row>
      <xdr:rowOff>154032</xdr:rowOff>
    </xdr:to>
    <xdr:graphicFrame macro="">
      <xdr:nvGraphicFramePr>
        <xdr:cNvPr id="16" name="Diagramm 15">
          <a:extLst>
            <a:ext uri="{FF2B5EF4-FFF2-40B4-BE49-F238E27FC236}">
              <a16:creationId xmlns:a16="http://schemas.microsoft.com/office/drawing/2014/main" id="{8D50A7BA-8EBC-44C5-BDDD-669F7EDE79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8</xdr:col>
      <xdr:colOff>0</xdr:colOff>
      <xdr:row>54</xdr:row>
      <xdr:rowOff>0</xdr:rowOff>
    </xdr:from>
    <xdr:to>
      <xdr:col>13</xdr:col>
      <xdr:colOff>607152</xdr:colOff>
      <xdr:row>68</xdr:row>
      <xdr:rowOff>154032</xdr:rowOff>
    </xdr:to>
    <xdr:graphicFrame macro="">
      <xdr:nvGraphicFramePr>
        <xdr:cNvPr id="17" name="Diagramm 16">
          <a:extLst>
            <a:ext uri="{FF2B5EF4-FFF2-40B4-BE49-F238E27FC236}">
              <a16:creationId xmlns:a16="http://schemas.microsoft.com/office/drawing/2014/main" id="{E55C8245-21E2-4C4F-B6A5-2757E7ACC7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542925</xdr:colOff>
      <xdr:row>2</xdr:row>
      <xdr:rowOff>25717</xdr:rowOff>
    </xdr:from>
    <xdr:to>
      <xdr:col>6</xdr:col>
      <xdr:colOff>371475</xdr:colOff>
      <xdr:row>17</xdr:row>
      <xdr:rowOff>60007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F120FD4C-CDA4-6C48-8635-475F014FCD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114300</xdr:colOff>
      <xdr:row>2</xdr:row>
      <xdr:rowOff>19050</xdr:rowOff>
    </xdr:from>
    <xdr:to>
      <xdr:col>12</xdr:col>
      <xdr:colOff>731520</xdr:colOff>
      <xdr:row>17</xdr:row>
      <xdr:rowOff>53340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31E371BC-959B-4087-A21C-95C938263F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400050</xdr:colOff>
      <xdr:row>1</xdr:row>
      <xdr:rowOff>161925</xdr:rowOff>
    </xdr:from>
    <xdr:to>
      <xdr:col>19</xdr:col>
      <xdr:colOff>226695</xdr:colOff>
      <xdr:row>17</xdr:row>
      <xdr:rowOff>15240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30D0C9C6-7866-4148-9B99-9CC6217431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425087</xdr:colOff>
      <xdr:row>18</xdr:row>
      <xdr:rowOff>163286</xdr:rowOff>
    </xdr:from>
    <xdr:to>
      <xdr:col>19</xdr:col>
      <xdr:colOff>254998</xdr:colOff>
      <xdr:row>22</xdr:row>
      <xdr:rowOff>68037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3F81F4D5-9E1C-4B93-8C9A-9864FFE1EF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182608</xdr:colOff>
      <xdr:row>18</xdr:row>
      <xdr:rowOff>175262</xdr:rowOff>
    </xdr:from>
    <xdr:to>
      <xdr:col>12</xdr:col>
      <xdr:colOff>787037</xdr:colOff>
      <xdr:row>22</xdr:row>
      <xdr:rowOff>95252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4A1FF27C-3376-4898-B19B-E52452B801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643346</xdr:colOff>
      <xdr:row>15</xdr:row>
      <xdr:rowOff>90771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8051A625-44D7-409F-80F5-FB81168D5C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500743</xdr:colOff>
      <xdr:row>0</xdr:row>
      <xdr:rowOff>10886</xdr:rowOff>
    </xdr:from>
    <xdr:to>
      <xdr:col>12</xdr:col>
      <xdr:colOff>368115</xdr:colOff>
      <xdr:row>15</xdr:row>
      <xdr:rowOff>140090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DE3C78DF-4179-4D7D-9995-1C19E3A7F2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141515</xdr:colOff>
      <xdr:row>17</xdr:row>
      <xdr:rowOff>179614</xdr:rowOff>
    </xdr:from>
    <xdr:to>
      <xdr:col>19</xdr:col>
      <xdr:colOff>5963</xdr:colOff>
      <xdr:row>33</xdr:row>
      <xdr:rowOff>135081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C5AC2FD8-E0D5-4A30-9C53-BBCC8464F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141514</xdr:colOff>
      <xdr:row>0</xdr:row>
      <xdr:rowOff>43543</xdr:rowOff>
    </xdr:from>
    <xdr:to>
      <xdr:col>18</xdr:col>
      <xdr:colOff>779343</xdr:colOff>
      <xdr:row>15</xdr:row>
      <xdr:rowOff>107941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DE5535AB-2C2E-4F48-802E-2B34CD6723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514350</xdr:colOff>
      <xdr:row>17</xdr:row>
      <xdr:rowOff>171450</xdr:rowOff>
    </xdr:from>
    <xdr:to>
      <xdr:col>12</xdr:col>
      <xdr:colOff>348615</xdr:colOff>
      <xdr:row>33</xdr:row>
      <xdr:rowOff>26126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9C398A4E-88E1-445A-8A74-57BC9ED462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17</xdr:row>
      <xdr:rowOff>144236</xdr:rowOff>
    </xdr:from>
    <xdr:to>
      <xdr:col>5</xdr:col>
      <xdr:colOff>634366</xdr:colOff>
      <xdr:row>32</xdr:row>
      <xdr:rowOff>189411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C979D34F-D0E2-4F24-8185-DEA35565C0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114300</xdr:colOff>
      <xdr:row>37</xdr:row>
      <xdr:rowOff>76200</xdr:rowOff>
    </xdr:from>
    <xdr:to>
      <xdr:col>18</xdr:col>
      <xdr:colOff>757646</xdr:colOff>
      <xdr:row>52</xdr:row>
      <xdr:rowOff>166971</xdr:rowOff>
    </xdr:to>
    <xdr:graphicFrame macro="">
      <xdr:nvGraphicFramePr>
        <xdr:cNvPr id="9" name="Diagramm 8">
          <a:extLst>
            <a:ext uri="{FF2B5EF4-FFF2-40B4-BE49-F238E27FC236}">
              <a16:creationId xmlns:a16="http://schemas.microsoft.com/office/drawing/2014/main" id="{971F88D9-02B9-4726-8276-892F2B72AA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438150</xdr:colOff>
      <xdr:row>37</xdr:row>
      <xdr:rowOff>95250</xdr:rowOff>
    </xdr:from>
    <xdr:to>
      <xdr:col>25</xdr:col>
      <xdr:colOff>281396</xdr:colOff>
      <xdr:row>52</xdr:row>
      <xdr:rowOff>186021</xdr:rowOff>
    </xdr:to>
    <xdr:graphicFrame macro="">
      <xdr:nvGraphicFramePr>
        <xdr:cNvPr id="10" name="Diagramm 9">
          <a:extLst>
            <a:ext uri="{FF2B5EF4-FFF2-40B4-BE49-F238E27FC236}">
              <a16:creationId xmlns:a16="http://schemas.microsoft.com/office/drawing/2014/main" id="{D1CB7697-5F42-4879-A243-EB2D70D02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20</xdr:col>
      <xdr:colOff>0</xdr:colOff>
      <xdr:row>0</xdr:row>
      <xdr:rowOff>0</xdr:rowOff>
    </xdr:from>
    <xdr:to>
      <xdr:col>25</xdr:col>
      <xdr:colOff>582411</xdr:colOff>
      <xdr:row>14</xdr:row>
      <xdr:rowOff>84760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3D59D89B-1FEB-47A4-A644-1EE5E0D761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37</xdr:row>
      <xdr:rowOff>0</xdr:rowOff>
    </xdr:from>
    <xdr:to>
      <xdr:col>6</xdr:col>
      <xdr:colOff>646042</xdr:colOff>
      <xdr:row>52</xdr:row>
      <xdr:rowOff>112592</xdr:rowOff>
    </xdr:to>
    <xdr:graphicFrame macro="">
      <xdr:nvGraphicFramePr>
        <xdr:cNvPr id="11" name="Diagramm 10">
          <a:extLst>
            <a:ext uri="{FF2B5EF4-FFF2-40B4-BE49-F238E27FC236}">
              <a16:creationId xmlns:a16="http://schemas.microsoft.com/office/drawing/2014/main" id="{B3CEE976-A7F6-4A28-881C-54D7E74B54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zoomScale="83" workbookViewId="0">
      <selection activeCell="L6" sqref="L6"/>
    </sheetView>
  </sheetViews>
  <sheetFormatPr baseColWidth="10" defaultColWidth="14.44140625" defaultRowHeight="15" customHeight="1" x14ac:dyDescent="0.3"/>
  <cols>
    <col min="1" max="1" width="16.88671875" bestFit="1" customWidth="1"/>
    <col min="2" max="4" width="8.6640625" customWidth="1"/>
    <col min="5" max="5" width="18.44140625" customWidth="1"/>
    <col min="6" max="9" width="8.6640625" customWidth="1"/>
    <col min="10" max="10" width="12.21875" customWidth="1"/>
    <col min="11" max="11" width="13.77734375" customWidth="1"/>
    <col min="12" max="12" width="8.33203125" customWidth="1"/>
    <col min="13" max="13" width="12.109375" customWidth="1"/>
    <col min="14" max="14" width="9.44140625" customWidth="1"/>
    <col min="15" max="15" width="12" customWidth="1"/>
    <col min="16" max="16" width="8.88671875" customWidth="1"/>
    <col min="17" max="17" width="8.44140625" customWidth="1"/>
    <col min="18" max="18" width="10.109375" customWidth="1"/>
    <col min="19" max="19" width="12.33203125" customWidth="1"/>
    <col min="20" max="20" width="9.21875" customWidth="1"/>
    <col min="22" max="26" width="8.6640625" customWidth="1"/>
  </cols>
  <sheetData>
    <row r="1" spans="1:24" s="15" customFormat="1" ht="46.8" customHeight="1" x14ac:dyDescent="0.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8" t="s">
        <v>96</v>
      </c>
      <c r="K1" s="18" t="s">
        <v>97</v>
      </c>
      <c r="L1" s="18" t="s">
        <v>98</v>
      </c>
      <c r="M1" s="18" t="s">
        <v>99</v>
      </c>
      <c r="N1" s="13" t="s">
        <v>13</v>
      </c>
      <c r="O1" s="18" t="s">
        <v>100</v>
      </c>
      <c r="P1" s="18" t="s">
        <v>101</v>
      </c>
      <c r="Q1" s="18" t="s">
        <v>102</v>
      </c>
      <c r="R1" s="18" t="s">
        <v>103</v>
      </c>
      <c r="S1" s="18" t="s">
        <v>104</v>
      </c>
      <c r="T1" s="18" t="s">
        <v>95</v>
      </c>
      <c r="U1" s="18" t="s">
        <v>106</v>
      </c>
      <c r="V1" s="18" t="s">
        <v>105</v>
      </c>
      <c r="W1" s="15" t="s">
        <v>231</v>
      </c>
      <c r="X1" s="14" t="s">
        <v>17</v>
      </c>
    </row>
    <row r="2" spans="1:24" ht="14.4" x14ac:dyDescent="0.3">
      <c r="A2" s="17" t="s">
        <v>52</v>
      </c>
      <c r="B2" s="2">
        <v>3004</v>
      </c>
      <c r="C2" s="2">
        <v>2996</v>
      </c>
      <c r="D2" s="2">
        <v>8</v>
      </c>
      <c r="E2" s="2">
        <v>0.74299999999999999</v>
      </c>
      <c r="F2" s="2">
        <v>88</v>
      </c>
      <c r="G2" s="2">
        <v>721</v>
      </c>
      <c r="H2" s="2">
        <v>49</v>
      </c>
      <c r="I2" s="2">
        <v>2138</v>
      </c>
      <c r="J2" s="2">
        <v>0.109</v>
      </c>
      <c r="K2" s="2">
        <v>0.64200000000000002</v>
      </c>
      <c r="L2" s="2">
        <v>0.186</v>
      </c>
      <c r="M2" s="2">
        <v>0.97799999999999998</v>
      </c>
      <c r="N2" s="2">
        <v>0.748</v>
      </c>
      <c r="O2" s="2">
        <v>0.84699999999999998</v>
      </c>
      <c r="P2" s="2">
        <v>0.51700000000000002</v>
      </c>
      <c r="Q2" s="2">
        <v>0.81699999999999995</v>
      </c>
      <c r="R2" s="19">
        <f>(J2+M2)/2</f>
        <v>0.54349999999999998</v>
      </c>
      <c r="S2" s="19">
        <f>F2/(F2+G2)</f>
        <v>0.10877626699629171</v>
      </c>
      <c r="T2" s="19">
        <f>F2/(F2+H2)</f>
        <v>0.64233576642335766</v>
      </c>
      <c r="U2" s="19">
        <f>F2/(F2+G2)</f>
        <v>0.10877626699629171</v>
      </c>
      <c r="V2" s="19">
        <f>2*((U2*T2)/(U2+T2))</f>
        <v>0.18604651162790695</v>
      </c>
      <c r="W2" s="19">
        <f>(F2*I2-G2*H2)/(SQRT((F2+G2)*(F2+H2)*(I2+G2)*(I2+H2)))</f>
        <v>0.18356926633320153</v>
      </c>
      <c r="X2" s="2">
        <f t="shared" ref="X2:X13" si="0">SUM(F2:I2)</f>
        <v>2996</v>
      </c>
    </row>
    <row r="3" spans="1:24" ht="14.4" x14ac:dyDescent="0.3">
      <c r="A3" s="17" t="s">
        <v>107</v>
      </c>
      <c r="B3" s="2">
        <v>3004</v>
      </c>
      <c r="C3" s="2">
        <v>2990</v>
      </c>
      <c r="D3" s="2">
        <v>14</v>
      </c>
      <c r="E3" s="2">
        <v>0.79300000000000004</v>
      </c>
      <c r="F3" s="2">
        <v>87</v>
      </c>
      <c r="G3" s="2">
        <v>570</v>
      </c>
      <c r="H3" s="2">
        <v>50</v>
      </c>
      <c r="I3" s="2">
        <v>2283</v>
      </c>
      <c r="J3" s="2">
        <v>0.13200000000000001</v>
      </c>
      <c r="K3" s="2">
        <v>0.63500000000000001</v>
      </c>
      <c r="L3" s="2">
        <v>0.219</v>
      </c>
      <c r="M3" s="2">
        <v>0.97899999999999998</v>
      </c>
      <c r="N3" s="2">
        <v>0.8</v>
      </c>
      <c r="O3" s="2">
        <v>0.88</v>
      </c>
      <c r="P3" s="2">
        <v>0.55000000000000004</v>
      </c>
      <c r="Q3" s="2">
        <v>0.85</v>
      </c>
      <c r="R3" s="19">
        <f t="shared" ref="R3:R13" si="1">(J3+M3)/2</f>
        <v>0.55549999999999999</v>
      </c>
      <c r="S3" s="19">
        <f t="shared" ref="S3:S13" si="2">F3/(F3+G3)</f>
        <v>0.13242009132420091</v>
      </c>
      <c r="T3" s="19">
        <f t="shared" ref="T3:T13" si="3">F3/(F3+H3)</f>
        <v>0.63503649635036497</v>
      </c>
      <c r="U3" s="19">
        <f t="shared" ref="U3:U13" si="4">F3/(F3+G3)</f>
        <v>0.13242009132420091</v>
      </c>
      <c r="V3" s="19">
        <f t="shared" ref="V3:V13" si="5">2*((U3*T3)/(U3+T3))</f>
        <v>0.21914357682619648</v>
      </c>
      <c r="W3" s="19">
        <f t="shared" ref="W3:W13" si="6">(F3*I3-G3*H3)/(SQRT((F3+G3)*(F3+H3)*(I3+G3)*(I3+H3)))</f>
        <v>0.21978937969481938</v>
      </c>
      <c r="X3" s="2">
        <f t="shared" si="0"/>
        <v>2990</v>
      </c>
    </row>
    <row r="4" spans="1:24" ht="14.4" x14ac:dyDescent="0.3">
      <c r="A4" s="17" t="s">
        <v>108</v>
      </c>
      <c r="B4" s="2">
        <v>3004</v>
      </c>
      <c r="C4" s="2">
        <v>2998</v>
      </c>
      <c r="D4" s="2">
        <v>6</v>
      </c>
      <c r="E4" s="2">
        <v>0.80200000000000005</v>
      </c>
      <c r="F4" s="2">
        <v>72</v>
      </c>
      <c r="G4" s="2">
        <v>530</v>
      </c>
      <c r="H4" s="2">
        <v>65</v>
      </c>
      <c r="I4" s="2">
        <v>2331</v>
      </c>
      <c r="J4" s="2">
        <v>0.12</v>
      </c>
      <c r="K4" s="2">
        <v>0.52600000000000002</v>
      </c>
      <c r="L4" s="2">
        <v>0.19500000000000001</v>
      </c>
      <c r="M4" s="2">
        <v>0.97299999999999998</v>
      </c>
      <c r="N4" s="2">
        <v>0.81499999999999995</v>
      </c>
      <c r="O4" s="2">
        <v>0.88700000000000001</v>
      </c>
      <c r="P4" s="2">
        <v>0.54100000000000004</v>
      </c>
      <c r="Q4" s="2">
        <v>0.85499999999999998</v>
      </c>
      <c r="R4" s="19">
        <f t="shared" si="1"/>
        <v>0.54649999999999999</v>
      </c>
      <c r="S4" s="19">
        <f t="shared" si="2"/>
        <v>0.11960132890365449</v>
      </c>
      <c r="T4" s="19">
        <f t="shared" si="3"/>
        <v>0.52554744525547448</v>
      </c>
      <c r="U4" s="19">
        <f t="shared" si="4"/>
        <v>0.11960132890365449</v>
      </c>
      <c r="V4" s="19">
        <f t="shared" si="5"/>
        <v>0.19485791610284167</v>
      </c>
      <c r="W4" s="19">
        <f t="shared" si="6"/>
        <v>0.17739295172245745</v>
      </c>
      <c r="X4" s="2">
        <f t="shared" si="0"/>
        <v>2998</v>
      </c>
    </row>
    <row r="5" spans="1:24" ht="14.4" x14ac:dyDescent="0.3">
      <c r="A5" s="17" t="s">
        <v>109</v>
      </c>
      <c r="B5" s="2">
        <v>3004</v>
      </c>
      <c r="C5" s="2">
        <v>3002</v>
      </c>
      <c r="D5" s="2">
        <v>2</v>
      </c>
      <c r="E5" s="2">
        <v>0.72799999999999998</v>
      </c>
      <c r="F5" s="2">
        <v>53</v>
      </c>
      <c r="G5" s="2">
        <v>734</v>
      </c>
      <c r="H5" s="2">
        <v>83</v>
      </c>
      <c r="I5" s="2">
        <v>2132</v>
      </c>
      <c r="J5" s="2">
        <v>6.7000000000000004E-2</v>
      </c>
      <c r="K5" s="2">
        <v>0.39</v>
      </c>
      <c r="L5" s="2">
        <v>0.115</v>
      </c>
      <c r="M5" s="2">
        <v>0.96299999999999997</v>
      </c>
      <c r="N5" s="2">
        <v>0.74399999999999999</v>
      </c>
      <c r="O5" s="2">
        <v>0.83899999999999997</v>
      </c>
      <c r="P5" s="2">
        <v>0.47699999999999998</v>
      </c>
      <c r="Q5" s="2">
        <v>0.80600000000000005</v>
      </c>
      <c r="R5" s="19">
        <f t="shared" si="1"/>
        <v>0.51500000000000001</v>
      </c>
      <c r="S5" s="19">
        <f t="shared" si="2"/>
        <v>6.734434561626429E-2</v>
      </c>
      <c r="T5" s="19">
        <f t="shared" si="3"/>
        <v>0.38970588235294118</v>
      </c>
      <c r="U5" s="19">
        <f t="shared" si="4"/>
        <v>6.734434561626429E-2</v>
      </c>
      <c r="V5" s="19">
        <f t="shared" si="5"/>
        <v>0.11484290357529793</v>
      </c>
      <c r="W5" s="19">
        <f t="shared" si="6"/>
        <v>6.3174114044420318E-2</v>
      </c>
      <c r="X5" s="2">
        <f t="shared" si="0"/>
        <v>3002</v>
      </c>
    </row>
    <row r="6" spans="1:24" ht="14.4" x14ac:dyDescent="0.3">
      <c r="A6" s="17" t="s">
        <v>110</v>
      </c>
      <c r="B6" s="2">
        <v>3004</v>
      </c>
      <c r="C6" s="2">
        <v>2996</v>
      </c>
      <c r="D6" s="2">
        <v>8</v>
      </c>
      <c r="E6" s="2">
        <v>0.88600000000000001</v>
      </c>
      <c r="F6" s="2">
        <v>50</v>
      </c>
      <c r="G6" s="2">
        <v>256</v>
      </c>
      <c r="H6" s="2">
        <v>86</v>
      </c>
      <c r="I6" s="2">
        <v>2604</v>
      </c>
      <c r="J6" s="2">
        <v>0.16300000000000001</v>
      </c>
      <c r="K6" s="2">
        <v>0.36799999999999999</v>
      </c>
      <c r="L6" s="2">
        <v>0.22600000000000001</v>
      </c>
      <c r="M6" s="2">
        <v>0.96799999999999997</v>
      </c>
      <c r="N6" s="2">
        <v>0.91</v>
      </c>
      <c r="O6" s="2">
        <v>0.93799999999999994</v>
      </c>
      <c r="P6" s="2">
        <v>0.58199999999999996</v>
      </c>
      <c r="Q6" s="2">
        <v>0.90600000000000003</v>
      </c>
      <c r="R6" s="19">
        <f t="shared" si="1"/>
        <v>0.5655</v>
      </c>
      <c r="S6" s="19">
        <f t="shared" si="2"/>
        <v>0.16339869281045752</v>
      </c>
      <c r="T6" s="19">
        <f t="shared" si="3"/>
        <v>0.36764705882352944</v>
      </c>
      <c r="U6" s="19">
        <f t="shared" si="4"/>
        <v>0.16339869281045752</v>
      </c>
      <c r="V6" s="19">
        <f t="shared" si="5"/>
        <v>0.22624434389140272</v>
      </c>
      <c r="W6" s="19">
        <f t="shared" si="6"/>
        <v>0.19119375865872854</v>
      </c>
      <c r="X6" s="2">
        <f t="shared" si="0"/>
        <v>2996</v>
      </c>
    </row>
    <row r="7" spans="1:24" ht="14.4" x14ac:dyDescent="0.3">
      <c r="A7" s="2" t="s">
        <v>22</v>
      </c>
      <c r="B7" s="2">
        <v>3004</v>
      </c>
      <c r="C7" s="2">
        <v>2998</v>
      </c>
      <c r="D7" s="2">
        <v>6</v>
      </c>
      <c r="E7" s="2">
        <v>0.70199999999999996</v>
      </c>
      <c r="F7" s="2">
        <v>74</v>
      </c>
      <c r="G7" s="2">
        <v>830</v>
      </c>
      <c r="H7" s="2">
        <v>63</v>
      </c>
      <c r="I7" s="2">
        <v>2031</v>
      </c>
      <c r="J7" s="2">
        <v>8.2000000000000003E-2</v>
      </c>
      <c r="K7" s="2">
        <v>0.54</v>
      </c>
      <c r="L7" s="2">
        <v>0.14199999999999999</v>
      </c>
      <c r="M7" s="2">
        <v>0.97</v>
      </c>
      <c r="N7" s="2">
        <v>0.71</v>
      </c>
      <c r="O7" s="2">
        <v>0.82</v>
      </c>
      <c r="P7" s="2">
        <v>0.48099999999999998</v>
      </c>
      <c r="Q7" s="2">
        <v>0.78900000000000003</v>
      </c>
      <c r="R7" s="19">
        <f t="shared" si="1"/>
        <v>0.52600000000000002</v>
      </c>
      <c r="S7" s="19">
        <f t="shared" si="2"/>
        <v>8.185840707964602E-2</v>
      </c>
      <c r="T7" s="19">
        <f t="shared" si="3"/>
        <v>0.54014598540145986</v>
      </c>
      <c r="U7" s="19">
        <f t="shared" si="4"/>
        <v>8.185840707964602E-2</v>
      </c>
      <c r="V7" s="19">
        <f t="shared" si="5"/>
        <v>0.14217098943323728</v>
      </c>
      <c r="W7" s="19">
        <f t="shared" si="6"/>
        <v>0.11377635994651038</v>
      </c>
      <c r="X7" s="2">
        <f t="shared" si="0"/>
        <v>2998</v>
      </c>
    </row>
    <row r="8" spans="1:24" ht="14.4" x14ac:dyDescent="0.3">
      <c r="A8" s="2" t="s">
        <v>27</v>
      </c>
      <c r="B8" s="2">
        <v>3004</v>
      </c>
      <c r="C8" s="2">
        <v>2973</v>
      </c>
      <c r="D8" s="2">
        <v>31</v>
      </c>
      <c r="E8" s="2">
        <v>0.44900000000000001</v>
      </c>
      <c r="F8" s="2">
        <v>101</v>
      </c>
      <c r="G8" s="2">
        <v>1604</v>
      </c>
      <c r="H8" s="2">
        <v>34</v>
      </c>
      <c r="I8" s="2">
        <v>1234</v>
      </c>
      <c r="J8" s="2">
        <v>5.8999999999999997E-2</v>
      </c>
      <c r="K8" s="2">
        <v>0.748</v>
      </c>
      <c r="L8" s="2">
        <v>0.11</v>
      </c>
      <c r="M8" s="2">
        <v>0.97299999999999998</v>
      </c>
      <c r="N8" s="2">
        <v>0.435</v>
      </c>
      <c r="O8" s="2">
        <v>0.60099999999999998</v>
      </c>
      <c r="P8" s="2">
        <v>0.35499999999999998</v>
      </c>
      <c r="Q8" s="2">
        <v>0.57899999999999996</v>
      </c>
      <c r="R8" s="19">
        <f t="shared" si="1"/>
        <v>0.51600000000000001</v>
      </c>
      <c r="S8" s="19">
        <f t="shared" si="2"/>
        <v>5.9237536656891493E-2</v>
      </c>
      <c r="T8" s="19">
        <f t="shared" si="3"/>
        <v>0.74814814814814812</v>
      </c>
      <c r="U8" s="19">
        <f t="shared" si="4"/>
        <v>5.9237536656891493E-2</v>
      </c>
      <c r="V8" s="19">
        <f t="shared" si="5"/>
        <v>0.10978260869565218</v>
      </c>
      <c r="W8" s="19">
        <f t="shared" si="6"/>
        <v>7.7021279474875484E-2</v>
      </c>
      <c r="X8" s="2">
        <f t="shared" si="0"/>
        <v>2973</v>
      </c>
    </row>
    <row r="9" spans="1:24" ht="14.4" x14ac:dyDescent="0.3">
      <c r="A9" s="17" t="s">
        <v>111</v>
      </c>
      <c r="B9" s="2">
        <v>3004</v>
      </c>
      <c r="C9" s="2">
        <v>2989</v>
      </c>
      <c r="D9" s="2">
        <v>15</v>
      </c>
      <c r="E9" s="2">
        <v>0.69299999999999995</v>
      </c>
      <c r="F9" s="2">
        <v>82</v>
      </c>
      <c r="G9" s="2">
        <v>864</v>
      </c>
      <c r="H9" s="2">
        <v>54</v>
      </c>
      <c r="I9" s="2">
        <v>1989</v>
      </c>
      <c r="J9" s="2">
        <v>8.6999999999999994E-2</v>
      </c>
      <c r="K9" s="2">
        <v>0.60299999999999998</v>
      </c>
      <c r="L9" s="2">
        <v>0.152</v>
      </c>
      <c r="M9" s="2">
        <v>0.97399999999999998</v>
      </c>
      <c r="N9" s="2">
        <v>0.69699999999999995</v>
      </c>
      <c r="O9" s="2">
        <v>0.81200000000000006</v>
      </c>
      <c r="P9" s="2">
        <v>0.48199999999999998</v>
      </c>
      <c r="Q9" s="2">
        <v>0.78200000000000003</v>
      </c>
      <c r="R9" s="19">
        <f t="shared" si="1"/>
        <v>0.53049999999999997</v>
      </c>
      <c r="S9" s="19">
        <f t="shared" si="2"/>
        <v>8.6680761099365747E-2</v>
      </c>
      <c r="T9" s="19">
        <f t="shared" si="3"/>
        <v>0.6029411764705882</v>
      </c>
      <c r="U9" s="19">
        <f t="shared" si="4"/>
        <v>8.6680761099365747E-2</v>
      </c>
      <c r="V9" s="19">
        <f t="shared" si="5"/>
        <v>0.15157116451016636</v>
      </c>
      <c r="W9" s="19">
        <f t="shared" si="6"/>
        <v>0.13446509552169569</v>
      </c>
      <c r="X9" s="2">
        <f t="shared" si="0"/>
        <v>2989</v>
      </c>
    </row>
    <row r="10" spans="1:24" ht="14.4" x14ac:dyDescent="0.3">
      <c r="A10" s="17" t="s">
        <v>112</v>
      </c>
      <c r="B10" s="2">
        <v>3004</v>
      </c>
      <c r="C10" s="2">
        <v>2996</v>
      </c>
      <c r="D10" s="2">
        <v>8</v>
      </c>
      <c r="E10" s="2">
        <v>0.78</v>
      </c>
      <c r="F10" s="2">
        <v>65</v>
      </c>
      <c r="G10" s="2">
        <v>588</v>
      </c>
      <c r="H10" s="2">
        <v>71</v>
      </c>
      <c r="I10" s="2">
        <v>2272</v>
      </c>
      <c r="J10" s="2">
        <v>0.1</v>
      </c>
      <c r="K10" s="2">
        <v>0.47799999999999998</v>
      </c>
      <c r="L10" s="2">
        <v>0.16500000000000001</v>
      </c>
      <c r="M10" s="2">
        <v>0.97</v>
      </c>
      <c r="N10" s="2">
        <v>0.79400000000000004</v>
      </c>
      <c r="O10" s="2">
        <v>0.873</v>
      </c>
      <c r="P10" s="2">
        <v>0.51900000000000002</v>
      </c>
      <c r="Q10" s="2">
        <v>0.84099999999999997</v>
      </c>
      <c r="R10" s="19">
        <f t="shared" si="1"/>
        <v>0.53500000000000003</v>
      </c>
      <c r="S10" s="19">
        <f t="shared" si="2"/>
        <v>9.9540581929555894E-2</v>
      </c>
      <c r="T10" s="19">
        <f t="shared" si="3"/>
        <v>0.47794117647058826</v>
      </c>
      <c r="U10" s="19">
        <f t="shared" si="4"/>
        <v>9.9540581929555894E-2</v>
      </c>
      <c r="V10" s="19">
        <f t="shared" si="5"/>
        <v>0.16476552598225602</v>
      </c>
      <c r="W10" s="19">
        <f t="shared" si="6"/>
        <v>0.13731942181955628</v>
      </c>
      <c r="X10" s="2">
        <f t="shared" si="0"/>
        <v>2996</v>
      </c>
    </row>
    <row r="11" spans="1:24" ht="14.4" x14ac:dyDescent="0.3">
      <c r="A11" s="17" t="s">
        <v>113</v>
      </c>
      <c r="B11" s="2">
        <v>3004</v>
      </c>
      <c r="C11" s="2">
        <v>3002</v>
      </c>
      <c r="D11" s="2">
        <v>2</v>
      </c>
      <c r="E11" s="2">
        <v>0.71899999999999997</v>
      </c>
      <c r="F11" s="2">
        <v>77</v>
      </c>
      <c r="G11" s="2">
        <v>785</v>
      </c>
      <c r="H11" s="2">
        <v>60</v>
      </c>
      <c r="I11" s="2">
        <v>2080</v>
      </c>
      <c r="J11" s="2">
        <v>8.8999999999999996E-2</v>
      </c>
      <c r="K11" s="2">
        <v>0.56200000000000006</v>
      </c>
      <c r="L11" s="2">
        <v>0.154</v>
      </c>
      <c r="M11" s="2">
        <v>0.97199999999999998</v>
      </c>
      <c r="N11" s="2">
        <v>0.72599999999999998</v>
      </c>
      <c r="O11" s="2">
        <v>0.83099999999999996</v>
      </c>
      <c r="P11" s="2">
        <v>0.49299999999999999</v>
      </c>
      <c r="Q11" s="2">
        <v>0.8</v>
      </c>
      <c r="R11" s="19">
        <f t="shared" si="1"/>
        <v>0.53049999999999997</v>
      </c>
      <c r="S11" s="19">
        <f t="shared" si="2"/>
        <v>8.9327146171693739E-2</v>
      </c>
      <c r="T11" s="19">
        <f t="shared" si="3"/>
        <v>0.56204379562043794</v>
      </c>
      <c r="U11" s="19">
        <f t="shared" si="4"/>
        <v>8.9327146171693739E-2</v>
      </c>
      <c r="V11" s="19">
        <f t="shared" si="5"/>
        <v>0.15415415415415418</v>
      </c>
      <c r="W11" s="19">
        <f t="shared" si="6"/>
        <v>0.13286967257948201</v>
      </c>
      <c r="X11" s="2">
        <f t="shared" si="0"/>
        <v>3002</v>
      </c>
    </row>
    <row r="12" spans="1:24" ht="14.4" x14ac:dyDescent="0.3">
      <c r="A12" s="17" t="s">
        <v>114</v>
      </c>
      <c r="B12" s="2">
        <v>3004</v>
      </c>
      <c r="C12" s="2">
        <v>2995</v>
      </c>
      <c r="D12" s="2">
        <v>9</v>
      </c>
      <c r="E12" s="2">
        <v>0.32900000000000001</v>
      </c>
      <c r="F12" s="2">
        <v>128</v>
      </c>
      <c r="G12" s="2">
        <v>2002</v>
      </c>
      <c r="H12" s="2">
        <v>8</v>
      </c>
      <c r="I12" s="2">
        <v>857</v>
      </c>
      <c r="J12" s="2">
        <v>0.06</v>
      </c>
      <c r="K12" s="2">
        <v>0.94099999999999995</v>
      </c>
      <c r="L12" s="2">
        <v>0.113</v>
      </c>
      <c r="M12" s="2">
        <v>0.99099999999999999</v>
      </c>
      <c r="N12" s="2">
        <v>0.3</v>
      </c>
      <c r="O12" s="2">
        <v>0.46</v>
      </c>
      <c r="P12" s="2">
        <v>0.28699999999999998</v>
      </c>
      <c r="Q12" s="2">
        <v>0.44400000000000001</v>
      </c>
      <c r="R12" s="19">
        <f t="shared" si="1"/>
        <v>0.52549999999999997</v>
      </c>
      <c r="S12" s="19">
        <f t="shared" si="2"/>
        <v>6.0093896713615022E-2</v>
      </c>
      <c r="T12" s="19">
        <f t="shared" si="3"/>
        <v>0.94117647058823528</v>
      </c>
      <c r="U12" s="19">
        <f t="shared" si="4"/>
        <v>6.0093896713615022E-2</v>
      </c>
      <c r="V12" s="19">
        <f t="shared" si="5"/>
        <v>0.11297440423654015</v>
      </c>
      <c r="W12" s="19">
        <f t="shared" si="6"/>
        <v>0.1106808522933104</v>
      </c>
      <c r="X12" s="2">
        <f t="shared" si="0"/>
        <v>2995</v>
      </c>
    </row>
    <row r="13" spans="1:24" ht="15" customHeight="1" x14ac:dyDescent="0.3">
      <c r="A13" s="17" t="s">
        <v>115</v>
      </c>
      <c r="B13" s="2">
        <v>3004</v>
      </c>
      <c r="C13" s="2">
        <v>3000</v>
      </c>
      <c r="D13" s="2">
        <v>4</v>
      </c>
      <c r="E13" s="2">
        <v>0.84899999999999998</v>
      </c>
      <c r="F13" s="2">
        <v>47</v>
      </c>
      <c r="G13" s="2">
        <v>364</v>
      </c>
      <c r="H13" s="2">
        <v>90</v>
      </c>
      <c r="I13" s="2">
        <v>2499</v>
      </c>
      <c r="J13" s="2">
        <v>0.114</v>
      </c>
      <c r="K13" s="2">
        <v>0.34300000000000003</v>
      </c>
      <c r="L13" s="2">
        <v>0.17199999999999999</v>
      </c>
      <c r="M13" s="2">
        <v>0.96499999999999997</v>
      </c>
      <c r="N13" s="2">
        <v>0.873</v>
      </c>
      <c r="O13" s="2">
        <v>0.91700000000000004</v>
      </c>
      <c r="P13" s="2">
        <v>0.54400000000000004</v>
      </c>
      <c r="Q13" s="2">
        <v>0.88300000000000001</v>
      </c>
      <c r="R13" s="19">
        <f t="shared" si="1"/>
        <v>0.53949999999999998</v>
      </c>
      <c r="S13" s="19">
        <f t="shared" si="2"/>
        <v>0.11435523114355231</v>
      </c>
      <c r="T13" s="19">
        <f t="shared" si="3"/>
        <v>0.34306569343065696</v>
      </c>
      <c r="U13" s="19">
        <f t="shared" si="4"/>
        <v>0.11435523114355231</v>
      </c>
      <c r="V13" s="19">
        <f t="shared" si="5"/>
        <v>0.17153284671532848</v>
      </c>
      <c r="W13" s="19">
        <f t="shared" si="6"/>
        <v>0.13109605502729524</v>
      </c>
      <c r="X13" s="2">
        <f t="shared" si="0"/>
        <v>3000</v>
      </c>
    </row>
    <row r="15" spans="1:24" ht="15" customHeight="1" x14ac:dyDescent="0.3">
      <c r="P15" s="19"/>
    </row>
    <row r="16" spans="1:24" ht="15" customHeight="1" x14ac:dyDescent="0.3">
      <c r="G16">
        <f>F6/(F6+G6)</f>
        <v>0.16339869281045752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80172-6191-47D0-B0B3-7283857E5FA5}">
  <dimension ref="A1:R27"/>
  <sheetViews>
    <sheetView tabSelected="1" zoomScale="85" zoomScaleNormal="85" workbookViewId="0">
      <selection activeCell="K20" sqref="K20"/>
    </sheetView>
  </sheetViews>
  <sheetFormatPr baseColWidth="10" defaultRowHeight="14.4" x14ac:dyDescent="0.3"/>
  <sheetData>
    <row r="1" spans="1:18" ht="43.2" x14ac:dyDescent="0.3">
      <c r="A1" s="13" t="s">
        <v>0</v>
      </c>
      <c r="B1" s="13" t="s">
        <v>4</v>
      </c>
      <c r="C1" s="18" t="s">
        <v>96</v>
      </c>
      <c r="D1" s="18" t="s">
        <v>97</v>
      </c>
      <c r="E1" s="18" t="s">
        <v>98</v>
      </c>
      <c r="F1" s="18" t="s">
        <v>99</v>
      </c>
      <c r="G1" s="13" t="s">
        <v>13</v>
      </c>
      <c r="H1" s="18" t="s">
        <v>100</v>
      </c>
      <c r="I1" s="18" t="s">
        <v>101</v>
      </c>
      <c r="J1" s="18" t="s">
        <v>102</v>
      </c>
      <c r="K1" s="18" t="s">
        <v>103</v>
      </c>
      <c r="L1" s="18" t="s">
        <v>104</v>
      </c>
      <c r="M1" s="18" t="s">
        <v>95</v>
      </c>
      <c r="N1" s="18" t="s">
        <v>106</v>
      </c>
      <c r="O1" s="18" t="s">
        <v>105</v>
      </c>
    </row>
    <row r="2" spans="1:18" x14ac:dyDescent="0.3">
      <c r="A2" s="17" t="s">
        <v>52</v>
      </c>
      <c r="B2" s="2">
        <v>0.74299999999999999</v>
      </c>
      <c r="C2" s="2">
        <v>0.109</v>
      </c>
      <c r="D2" s="2">
        <v>0.64200000000000002</v>
      </c>
      <c r="E2" s="2">
        <v>0.186</v>
      </c>
      <c r="F2" s="2">
        <v>0.97799999999999998</v>
      </c>
      <c r="G2" s="2">
        <v>0.748</v>
      </c>
      <c r="H2" s="2">
        <v>0.84699999999999998</v>
      </c>
      <c r="I2" s="2">
        <v>0.51700000000000002</v>
      </c>
      <c r="J2" s="2">
        <v>0.81699999999999995</v>
      </c>
      <c r="K2" s="19">
        <f>(C2+F2)/2</f>
        <v>0.54349999999999998</v>
      </c>
      <c r="L2" s="19" t="e">
        <f>#REF!/(#REF!+#REF!)</f>
        <v>#REF!</v>
      </c>
      <c r="M2" s="19" t="e">
        <f>#REF!/(#REF!+#REF!)</f>
        <v>#REF!</v>
      </c>
      <c r="N2" s="19" t="e">
        <f>#REF!/(#REF!+#REF!)</f>
        <v>#REF!</v>
      </c>
      <c r="O2" s="19" t="e">
        <f>2*((N2*M2)/(N2+M2))</f>
        <v>#REF!</v>
      </c>
    </row>
    <row r="3" spans="1:18" x14ac:dyDescent="0.3">
      <c r="A3" s="17" t="s">
        <v>107</v>
      </c>
      <c r="B3" s="2">
        <v>0.79300000000000004</v>
      </c>
      <c r="C3" s="2">
        <v>0.13200000000000001</v>
      </c>
      <c r="D3" s="2">
        <v>0.63500000000000001</v>
      </c>
      <c r="E3" s="2">
        <v>0.219</v>
      </c>
      <c r="F3" s="2">
        <v>0.97899999999999998</v>
      </c>
      <c r="G3" s="2">
        <v>0.8</v>
      </c>
      <c r="H3" s="2">
        <v>0.88</v>
      </c>
      <c r="I3" s="2">
        <v>0.55000000000000004</v>
      </c>
      <c r="J3" s="2">
        <v>0.85</v>
      </c>
      <c r="K3" s="19">
        <f t="shared" ref="K3:K13" si="0">(C3+F3)/2</f>
        <v>0.55549999999999999</v>
      </c>
      <c r="L3" s="19" t="e">
        <f>#REF!/(#REF!+#REF!)</f>
        <v>#REF!</v>
      </c>
      <c r="M3" s="19" t="e">
        <f>#REF!/(#REF!+#REF!)</f>
        <v>#REF!</v>
      </c>
      <c r="N3" s="19" t="e">
        <f>#REF!/(#REF!+#REF!)</f>
        <v>#REF!</v>
      </c>
      <c r="O3" s="19" t="e">
        <f t="shared" ref="O3:O13" si="1">2*((N3*M3)/(N3+M3))</f>
        <v>#REF!</v>
      </c>
    </row>
    <row r="4" spans="1:18" x14ac:dyDescent="0.3">
      <c r="A4" s="17" t="s">
        <v>108</v>
      </c>
      <c r="B4" s="2">
        <v>0.80200000000000005</v>
      </c>
      <c r="C4" s="2">
        <v>0.12</v>
      </c>
      <c r="D4" s="2">
        <v>0.52600000000000002</v>
      </c>
      <c r="E4" s="2">
        <v>0.19500000000000001</v>
      </c>
      <c r="F4" s="2">
        <v>0.97299999999999998</v>
      </c>
      <c r="G4" s="2">
        <v>0.81499999999999995</v>
      </c>
      <c r="H4" s="2">
        <v>0.88700000000000001</v>
      </c>
      <c r="I4" s="2">
        <v>0.54100000000000004</v>
      </c>
      <c r="J4" s="2">
        <v>0.85499999999999998</v>
      </c>
      <c r="K4" s="19">
        <f t="shared" si="0"/>
        <v>0.54649999999999999</v>
      </c>
      <c r="L4" s="19" t="e">
        <f>#REF!/(#REF!+#REF!)</f>
        <v>#REF!</v>
      </c>
      <c r="M4" s="19" t="e">
        <f>#REF!/(#REF!+#REF!)</f>
        <v>#REF!</v>
      </c>
      <c r="N4" s="19" t="e">
        <f>#REF!/(#REF!+#REF!)</f>
        <v>#REF!</v>
      </c>
      <c r="O4" s="19" t="e">
        <f t="shared" si="1"/>
        <v>#REF!</v>
      </c>
    </row>
    <row r="5" spans="1:18" x14ac:dyDescent="0.3">
      <c r="A5" s="17" t="s">
        <v>109</v>
      </c>
      <c r="B5" s="2">
        <v>0.72799999999999998</v>
      </c>
      <c r="C5" s="2">
        <v>6.7000000000000004E-2</v>
      </c>
      <c r="D5" s="2">
        <v>0.39</v>
      </c>
      <c r="E5" s="2">
        <v>0.115</v>
      </c>
      <c r="F5" s="2">
        <v>0.96299999999999997</v>
      </c>
      <c r="G5" s="2">
        <v>0.74399999999999999</v>
      </c>
      <c r="H5" s="2">
        <v>0.83899999999999997</v>
      </c>
      <c r="I5" s="2">
        <v>0.47699999999999998</v>
      </c>
      <c r="J5" s="2">
        <v>0.80600000000000005</v>
      </c>
      <c r="K5" s="19">
        <f t="shared" si="0"/>
        <v>0.51500000000000001</v>
      </c>
      <c r="L5" s="19" t="e">
        <f>#REF!/(#REF!+#REF!)</f>
        <v>#REF!</v>
      </c>
      <c r="M5" s="19" t="e">
        <f>#REF!/(#REF!+#REF!)</f>
        <v>#REF!</v>
      </c>
      <c r="N5" s="19" t="e">
        <f>#REF!/(#REF!+#REF!)</f>
        <v>#REF!</v>
      </c>
      <c r="O5" s="19" t="e">
        <f t="shared" si="1"/>
        <v>#REF!</v>
      </c>
    </row>
    <row r="6" spans="1:18" x14ac:dyDescent="0.3">
      <c r="A6" s="17" t="s">
        <v>110</v>
      </c>
      <c r="B6" s="2">
        <v>0.88600000000000001</v>
      </c>
      <c r="C6" s="2">
        <v>0.16300000000000001</v>
      </c>
      <c r="D6" s="2">
        <v>0.36799999999999999</v>
      </c>
      <c r="E6" s="2">
        <v>0.22600000000000001</v>
      </c>
      <c r="F6" s="2">
        <v>0.96799999999999997</v>
      </c>
      <c r="G6" s="2">
        <v>0.91</v>
      </c>
      <c r="H6" s="2">
        <v>0.93799999999999994</v>
      </c>
      <c r="I6" s="2">
        <v>0.58199999999999996</v>
      </c>
      <c r="J6" s="2">
        <v>0.90600000000000003</v>
      </c>
      <c r="K6" s="19">
        <f t="shared" si="0"/>
        <v>0.5655</v>
      </c>
      <c r="L6" s="19" t="e">
        <f>#REF!/(#REF!+#REF!)</f>
        <v>#REF!</v>
      </c>
      <c r="M6" s="19" t="e">
        <f>#REF!/(#REF!+#REF!)</f>
        <v>#REF!</v>
      </c>
      <c r="N6" s="19" t="e">
        <f>#REF!/(#REF!+#REF!)</f>
        <v>#REF!</v>
      </c>
      <c r="O6" s="19" t="e">
        <f t="shared" si="1"/>
        <v>#REF!</v>
      </c>
    </row>
    <row r="7" spans="1:18" x14ac:dyDescent="0.3">
      <c r="A7" s="2" t="s">
        <v>22</v>
      </c>
      <c r="B7" s="2">
        <v>0.70199999999999996</v>
      </c>
      <c r="C7" s="2">
        <v>8.2000000000000003E-2</v>
      </c>
      <c r="D7" s="2">
        <v>0.54</v>
      </c>
      <c r="E7" s="2">
        <v>0.14199999999999999</v>
      </c>
      <c r="F7" s="2">
        <v>0.97</v>
      </c>
      <c r="G7" s="2">
        <v>0.71</v>
      </c>
      <c r="H7" s="2">
        <v>0.82</v>
      </c>
      <c r="I7" s="2">
        <v>0.48099999999999998</v>
      </c>
      <c r="J7" s="2">
        <v>0.78900000000000003</v>
      </c>
      <c r="K7" s="19">
        <f t="shared" si="0"/>
        <v>0.52600000000000002</v>
      </c>
      <c r="L7" s="19" t="e">
        <f>#REF!/(#REF!+#REF!)</f>
        <v>#REF!</v>
      </c>
      <c r="M7" s="19" t="e">
        <f>#REF!/(#REF!+#REF!)</f>
        <v>#REF!</v>
      </c>
      <c r="N7" s="19" t="e">
        <f>#REF!/(#REF!+#REF!)</f>
        <v>#REF!</v>
      </c>
      <c r="O7" s="19" t="e">
        <f t="shared" si="1"/>
        <v>#REF!</v>
      </c>
    </row>
    <row r="8" spans="1:18" x14ac:dyDescent="0.3">
      <c r="A8" s="2" t="s">
        <v>27</v>
      </c>
      <c r="B8" s="2">
        <v>0.44900000000000001</v>
      </c>
      <c r="C8" s="2">
        <v>5.8999999999999997E-2</v>
      </c>
      <c r="D8" s="2">
        <v>0.748</v>
      </c>
      <c r="E8" s="2">
        <v>0.11</v>
      </c>
      <c r="F8" s="2">
        <v>0.97299999999999998</v>
      </c>
      <c r="G8" s="2">
        <v>0.435</v>
      </c>
      <c r="H8" s="2">
        <v>0.60099999999999998</v>
      </c>
      <c r="I8" s="2">
        <v>0.35499999999999998</v>
      </c>
      <c r="J8" s="2">
        <v>0.57899999999999996</v>
      </c>
      <c r="K8" s="19">
        <f t="shared" si="0"/>
        <v>0.51600000000000001</v>
      </c>
      <c r="L8" s="19" t="e">
        <f>#REF!/(#REF!+#REF!)</f>
        <v>#REF!</v>
      </c>
      <c r="M8" s="19" t="e">
        <f>#REF!/(#REF!+#REF!)</f>
        <v>#REF!</v>
      </c>
      <c r="N8" s="19" t="e">
        <f>#REF!/(#REF!+#REF!)</f>
        <v>#REF!</v>
      </c>
      <c r="O8" s="19" t="e">
        <f t="shared" si="1"/>
        <v>#REF!</v>
      </c>
    </row>
    <row r="9" spans="1:18" x14ac:dyDescent="0.3">
      <c r="A9" s="17" t="s">
        <v>111</v>
      </c>
      <c r="B9" s="2">
        <v>0.69299999999999995</v>
      </c>
      <c r="C9" s="2">
        <v>8.6999999999999994E-2</v>
      </c>
      <c r="D9" s="2">
        <v>0.60299999999999998</v>
      </c>
      <c r="E9" s="2">
        <v>0.152</v>
      </c>
      <c r="F9" s="2">
        <v>0.97399999999999998</v>
      </c>
      <c r="G9" s="2">
        <v>0.69699999999999995</v>
      </c>
      <c r="H9" s="2">
        <v>0.81200000000000006</v>
      </c>
      <c r="I9" s="2">
        <v>0.48199999999999998</v>
      </c>
      <c r="J9" s="2">
        <v>0.78200000000000003</v>
      </c>
      <c r="K9" s="19">
        <f t="shared" si="0"/>
        <v>0.53049999999999997</v>
      </c>
      <c r="L9" s="19" t="e">
        <f>#REF!/(#REF!+#REF!)</f>
        <v>#REF!</v>
      </c>
      <c r="M9" s="19" t="e">
        <f>#REF!/(#REF!+#REF!)</f>
        <v>#REF!</v>
      </c>
      <c r="N9" s="19" t="e">
        <f>#REF!/(#REF!+#REF!)</f>
        <v>#REF!</v>
      </c>
      <c r="O9" s="19" t="e">
        <f t="shared" si="1"/>
        <v>#REF!</v>
      </c>
    </row>
    <row r="10" spans="1:18" x14ac:dyDescent="0.3">
      <c r="A10" s="17" t="s">
        <v>112</v>
      </c>
      <c r="B10" s="2">
        <v>0.78</v>
      </c>
      <c r="C10" s="2">
        <v>0.1</v>
      </c>
      <c r="D10" s="2">
        <v>0.47799999999999998</v>
      </c>
      <c r="E10" s="2">
        <v>0.16500000000000001</v>
      </c>
      <c r="F10" s="2">
        <v>0.97</v>
      </c>
      <c r="G10" s="2">
        <v>0.79400000000000004</v>
      </c>
      <c r="H10" s="2">
        <v>0.873</v>
      </c>
      <c r="I10" s="2">
        <v>0.51900000000000002</v>
      </c>
      <c r="J10" s="2">
        <v>0.84099999999999997</v>
      </c>
      <c r="K10" s="19">
        <f t="shared" si="0"/>
        <v>0.53500000000000003</v>
      </c>
      <c r="L10" s="19" t="e">
        <f>#REF!/(#REF!+#REF!)</f>
        <v>#REF!</v>
      </c>
      <c r="M10" s="19" t="e">
        <f>#REF!/(#REF!+#REF!)</f>
        <v>#REF!</v>
      </c>
      <c r="N10" s="19" t="e">
        <f>#REF!/(#REF!+#REF!)</f>
        <v>#REF!</v>
      </c>
      <c r="O10" s="19" t="e">
        <f t="shared" si="1"/>
        <v>#REF!</v>
      </c>
    </row>
    <row r="11" spans="1:18" x14ac:dyDescent="0.3">
      <c r="A11" s="17" t="s">
        <v>113</v>
      </c>
      <c r="B11" s="2">
        <v>0.71899999999999997</v>
      </c>
      <c r="C11" s="2">
        <v>8.8999999999999996E-2</v>
      </c>
      <c r="D11" s="2">
        <v>0.56200000000000006</v>
      </c>
      <c r="E11" s="2">
        <v>0.154</v>
      </c>
      <c r="F11" s="2">
        <v>0.97199999999999998</v>
      </c>
      <c r="G11" s="2">
        <v>0.72599999999999998</v>
      </c>
      <c r="H11" s="2">
        <v>0.83099999999999996</v>
      </c>
      <c r="I11" s="2">
        <v>0.49299999999999999</v>
      </c>
      <c r="J11" s="2">
        <v>0.8</v>
      </c>
      <c r="K11" s="19">
        <f t="shared" si="0"/>
        <v>0.53049999999999997</v>
      </c>
      <c r="L11" s="19" t="e">
        <f>#REF!/(#REF!+#REF!)</f>
        <v>#REF!</v>
      </c>
      <c r="M11" s="19" t="e">
        <f>#REF!/(#REF!+#REF!)</f>
        <v>#REF!</v>
      </c>
      <c r="N11" s="19" t="e">
        <f>#REF!/(#REF!+#REF!)</f>
        <v>#REF!</v>
      </c>
      <c r="O11" s="19" t="e">
        <f t="shared" si="1"/>
        <v>#REF!</v>
      </c>
    </row>
    <row r="12" spans="1:18" x14ac:dyDescent="0.3">
      <c r="A12" s="17" t="s">
        <v>114</v>
      </c>
      <c r="B12" s="2">
        <v>0.32900000000000001</v>
      </c>
      <c r="C12" s="2">
        <v>0.06</v>
      </c>
      <c r="D12" s="2">
        <v>0.94099999999999995</v>
      </c>
      <c r="E12" s="2">
        <v>0.113</v>
      </c>
      <c r="F12" s="2">
        <v>0.99099999999999999</v>
      </c>
      <c r="G12" s="2">
        <v>0.3</v>
      </c>
      <c r="H12" s="2">
        <v>0.46</v>
      </c>
      <c r="I12" s="2">
        <v>0.28699999999999998</v>
      </c>
      <c r="J12" s="2">
        <v>0.44400000000000001</v>
      </c>
      <c r="K12" s="19">
        <f t="shared" si="0"/>
        <v>0.52549999999999997</v>
      </c>
      <c r="L12" s="19" t="e">
        <f>#REF!/(#REF!+#REF!)</f>
        <v>#REF!</v>
      </c>
      <c r="M12" s="19" t="e">
        <f>#REF!/(#REF!+#REF!)</f>
        <v>#REF!</v>
      </c>
      <c r="N12" s="19" t="e">
        <f>#REF!/(#REF!+#REF!)</f>
        <v>#REF!</v>
      </c>
      <c r="O12" s="19" t="e">
        <f t="shared" si="1"/>
        <v>#REF!</v>
      </c>
    </row>
    <row r="13" spans="1:18" x14ac:dyDescent="0.3">
      <c r="A13" s="17" t="s">
        <v>115</v>
      </c>
      <c r="B13" s="2">
        <v>0.84899999999999998</v>
      </c>
      <c r="C13" s="2">
        <v>0.114</v>
      </c>
      <c r="D13" s="2">
        <v>0.34300000000000003</v>
      </c>
      <c r="E13" s="2">
        <v>0.17199999999999999</v>
      </c>
      <c r="F13" s="2">
        <v>0.96499999999999997</v>
      </c>
      <c r="G13" s="2">
        <v>0.873</v>
      </c>
      <c r="H13" s="2">
        <v>0.91700000000000004</v>
      </c>
      <c r="I13" s="2">
        <v>0.54400000000000004</v>
      </c>
      <c r="J13" s="2">
        <v>0.88300000000000001</v>
      </c>
      <c r="K13" s="19">
        <f t="shared" si="0"/>
        <v>0.53949999999999998</v>
      </c>
      <c r="L13" s="19" t="e">
        <f>#REF!/(#REF!+#REF!)</f>
        <v>#REF!</v>
      </c>
      <c r="M13" s="19" t="e">
        <f>#REF!/(#REF!+#REF!)</f>
        <v>#REF!</v>
      </c>
      <c r="N13" s="19" t="e">
        <f>#REF!/(#REF!+#REF!)</f>
        <v>#REF!</v>
      </c>
      <c r="O13" s="19" t="e">
        <f t="shared" si="1"/>
        <v>#REF!</v>
      </c>
    </row>
    <row r="15" spans="1:18" x14ac:dyDescent="0.3">
      <c r="A15" t="s">
        <v>0</v>
      </c>
      <c r="B15" s="23" t="s">
        <v>116</v>
      </c>
      <c r="C15" s="23" t="s">
        <v>117</v>
      </c>
      <c r="D15" s="23" t="s">
        <v>118</v>
      </c>
      <c r="E15" s="23" t="s">
        <v>119</v>
      </c>
      <c r="F15" s="23" t="s">
        <v>120</v>
      </c>
      <c r="G15" s="23" t="s">
        <v>121</v>
      </c>
      <c r="H15" s="23" t="s">
        <v>122</v>
      </c>
      <c r="I15" s="23" t="s">
        <v>123</v>
      </c>
      <c r="J15" s="23" t="s">
        <v>124</v>
      </c>
      <c r="K15" s="23" t="s">
        <v>231</v>
      </c>
      <c r="M15" t="s">
        <v>232</v>
      </c>
      <c r="N15" t="s">
        <v>0</v>
      </c>
      <c r="O15" t="s">
        <v>231</v>
      </c>
      <c r="P15" t="s">
        <v>123</v>
      </c>
      <c r="Q15" t="s">
        <v>117</v>
      </c>
      <c r="R15" t="s">
        <v>118</v>
      </c>
    </row>
    <row r="16" spans="1:18" x14ac:dyDescent="0.3">
      <c r="A16" t="s">
        <v>52</v>
      </c>
      <c r="B16" s="20" t="s">
        <v>125</v>
      </c>
      <c r="C16" s="20" t="s">
        <v>126</v>
      </c>
      <c r="D16" s="20" t="s">
        <v>127</v>
      </c>
      <c r="E16" s="20" t="s">
        <v>128</v>
      </c>
      <c r="F16" s="20" t="s">
        <v>129</v>
      </c>
      <c r="G16" s="20" t="s">
        <v>130</v>
      </c>
      <c r="H16" s="20" t="s">
        <v>131</v>
      </c>
      <c r="I16" s="20" t="s">
        <v>132</v>
      </c>
      <c r="J16" s="20" t="s">
        <v>133</v>
      </c>
      <c r="K16" s="19">
        <v>0.18356926633320153</v>
      </c>
      <c r="M16">
        <v>1</v>
      </c>
      <c r="N16" t="s">
        <v>107</v>
      </c>
      <c r="O16" t="s">
        <v>233</v>
      </c>
      <c r="P16" t="s">
        <v>141</v>
      </c>
      <c r="Q16" t="s">
        <v>135</v>
      </c>
      <c r="R16" t="s">
        <v>136</v>
      </c>
    </row>
    <row r="17" spans="1:18" s="24" customFormat="1" x14ac:dyDescent="0.3">
      <c r="A17" s="24" t="s">
        <v>107</v>
      </c>
      <c r="B17" s="25" t="s">
        <v>134</v>
      </c>
      <c r="C17" s="25" t="s">
        <v>135</v>
      </c>
      <c r="D17" s="25" t="s">
        <v>136</v>
      </c>
      <c r="E17" s="25" t="s">
        <v>137</v>
      </c>
      <c r="F17" s="25" t="s">
        <v>138</v>
      </c>
      <c r="G17" s="25" t="s">
        <v>139</v>
      </c>
      <c r="H17" s="25" t="s">
        <v>140</v>
      </c>
      <c r="I17" s="25" t="s">
        <v>141</v>
      </c>
      <c r="J17" s="25" t="s">
        <v>142</v>
      </c>
      <c r="K17" s="26">
        <v>0.21978937969481938</v>
      </c>
      <c r="M17" s="24">
        <v>2</v>
      </c>
      <c r="N17" s="24" t="s">
        <v>110</v>
      </c>
      <c r="O17" s="24" t="s">
        <v>234</v>
      </c>
      <c r="P17" s="24" t="s">
        <v>168</v>
      </c>
      <c r="Q17" s="24" t="s">
        <v>162</v>
      </c>
      <c r="R17" s="24" t="s">
        <v>163</v>
      </c>
    </row>
    <row r="18" spans="1:18" x14ac:dyDescent="0.3">
      <c r="A18" t="s">
        <v>108</v>
      </c>
      <c r="B18" s="20" t="s">
        <v>143</v>
      </c>
      <c r="C18" s="20" t="s">
        <v>144</v>
      </c>
      <c r="D18" s="20" t="s">
        <v>145</v>
      </c>
      <c r="E18" s="20" t="s">
        <v>146</v>
      </c>
      <c r="F18" s="20" t="s">
        <v>147</v>
      </c>
      <c r="G18" s="20" t="s">
        <v>148</v>
      </c>
      <c r="H18" s="20" t="s">
        <v>149</v>
      </c>
      <c r="I18" s="20" t="s">
        <v>150</v>
      </c>
      <c r="J18" s="20" t="s">
        <v>151</v>
      </c>
      <c r="K18" s="19">
        <v>0.17739295172245745</v>
      </c>
      <c r="M18">
        <v>3</v>
      </c>
      <c r="N18" t="s">
        <v>52</v>
      </c>
      <c r="O18" t="s">
        <v>235</v>
      </c>
      <c r="P18" t="s">
        <v>132</v>
      </c>
      <c r="Q18" t="s">
        <v>126</v>
      </c>
      <c r="R18" t="s">
        <v>127</v>
      </c>
    </row>
    <row r="19" spans="1:18" x14ac:dyDescent="0.3">
      <c r="A19" t="s">
        <v>109</v>
      </c>
      <c r="B19" s="20" t="s">
        <v>152</v>
      </c>
      <c r="C19" s="20" t="s">
        <v>153</v>
      </c>
      <c r="D19" s="20" t="s">
        <v>154</v>
      </c>
      <c r="E19" s="20" t="s">
        <v>155</v>
      </c>
      <c r="F19" s="20" t="s">
        <v>156</v>
      </c>
      <c r="G19" s="20" t="s">
        <v>157</v>
      </c>
      <c r="H19" s="20" t="s">
        <v>158</v>
      </c>
      <c r="I19" s="20" t="s">
        <v>159</v>
      </c>
      <c r="J19" s="20" t="s">
        <v>160</v>
      </c>
      <c r="K19" s="19">
        <v>6.3174114044420318E-2</v>
      </c>
      <c r="M19">
        <v>4</v>
      </c>
      <c r="N19" t="s">
        <v>108</v>
      </c>
      <c r="O19" t="s">
        <v>236</v>
      </c>
      <c r="P19" t="s">
        <v>150</v>
      </c>
      <c r="Q19" t="s">
        <v>144</v>
      </c>
      <c r="R19" t="s">
        <v>145</v>
      </c>
    </row>
    <row r="20" spans="1:18" s="24" customFormat="1" x14ac:dyDescent="0.3">
      <c r="A20" s="24" t="s">
        <v>110</v>
      </c>
      <c r="B20" s="25" t="s">
        <v>161</v>
      </c>
      <c r="C20" s="25" t="s">
        <v>162</v>
      </c>
      <c r="D20" s="25" t="s">
        <v>163</v>
      </c>
      <c r="E20" s="25" t="s">
        <v>164</v>
      </c>
      <c r="F20" s="25" t="s">
        <v>165</v>
      </c>
      <c r="G20" s="25" t="s">
        <v>166</v>
      </c>
      <c r="H20" s="25" t="s">
        <v>167</v>
      </c>
      <c r="I20" s="25" t="s">
        <v>168</v>
      </c>
      <c r="J20" s="25" t="s">
        <v>169</v>
      </c>
      <c r="K20" s="26">
        <v>0.19119375865872854</v>
      </c>
      <c r="M20" s="24">
        <v>5</v>
      </c>
      <c r="N20" s="24" t="s">
        <v>112</v>
      </c>
      <c r="O20" s="24" t="s">
        <v>237</v>
      </c>
      <c r="P20" s="24" t="s">
        <v>201</v>
      </c>
      <c r="Q20" s="24" t="s">
        <v>196</v>
      </c>
      <c r="R20" s="24" t="s">
        <v>197</v>
      </c>
    </row>
    <row r="21" spans="1:18" x14ac:dyDescent="0.3">
      <c r="A21" t="s">
        <v>22</v>
      </c>
      <c r="B21" s="20" t="s">
        <v>170</v>
      </c>
      <c r="C21" s="20" t="s">
        <v>171</v>
      </c>
      <c r="D21" s="20" t="s">
        <v>172</v>
      </c>
      <c r="E21" s="20" t="s">
        <v>173</v>
      </c>
      <c r="F21" s="20" t="s">
        <v>174</v>
      </c>
      <c r="G21" s="20" t="s">
        <v>175</v>
      </c>
      <c r="H21" s="20" t="s">
        <v>176</v>
      </c>
      <c r="I21" s="20" t="s">
        <v>177</v>
      </c>
      <c r="J21" s="20" t="s">
        <v>178</v>
      </c>
      <c r="K21" s="19">
        <v>0.11377635994651038</v>
      </c>
      <c r="M21">
        <v>6</v>
      </c>
      <c r="N21" t="s">
        <v>111</v>
      </c>
      <c r="O21" t="s">
        <v>238</v>
      </c>
      <c r="P21" t="s">
        <v>193</v>
      </c>
      <c r="Q21" t="s">
        <v>187</v>
      </c>
      <c r="R21" t="s">
        <v>188</v>
      </c>
    </row>
    <row r="22" spans="1:18" x14ac:dyDescent="0.3">
      <c r="A22" t="s">
        <v>27</v>
      </c>
      <c r="B22" s="20" t="s">
        <v>179</v>
      </c>
      <c r="C22" s="20" t="s">
        <v>180</v>
      </c>
      <c r="D22" s="20" t="s">
        <v>130</v>
      </c>
      <c r="E22" s="20" t="s">
        <v>181</v>
      </c>
      <c r="F22" s="20" t="s">
        <v>147</v>
      </c>
      <c r="G22" s="20" t="s">
        <v>182</v>
      </c>
      <c r="H22" s="20" t="s">
        <v>183</v>
      </c>
      <c r="I22" s="20" t="s">
        <v>184</v>
      </c>
      <c r="J22" s="20" t="s">
        <v>185</v>
      </c>
      <c r="K22" s="19">
        <v>7.7021279474875484E-2</v>
      </c>
      <c r="M22">
        <v>7</v>
      </c>
      <c r="N22" t="s">
        <v>113</v>
      </c>
      <c r="O22" t="s">
        <v>239</v>
      </c>
      <c r="P22" t="s">
        <v>210</v>
      </c>
      <c r="Q22" t="s">
        <v>204</v>
      </c>
      <c r="R22" t="s">
        <v>205</v>
      </c>
    </row>
    <row r="23" spans="1:18" x14ac:dyDescent="0.3">
      <c r="A23" t="s">
        <v>111</v>
      </c>
      <c r="B23" s="20" t="s">
        <v>186</v>
      </c>
      <c r="C23" s="20" t="s">
        <v>187</v>
      </c>
      <c r="D23" s="20" t="s">
        <v>188</v>
      </c>
      <c r="E23" s="20" t="s">
        <v>189</v>
      </c>
      <c r="F23" s="20" t="s">
        <v>190</v>
      </c>
      <c r="G23" s="20" t="s">
        <v>191</v>
      </c>
      <c r="H23" s="20" t="s">
        <v>192</v>
      </c>
      <c r="I23" s="20" t="s">
        <v>193</v>
      </c>
      <c r="J23" s="20" t="s">
        <v>194</v>
      </c>
      <c r="K23" s="19">
        <v>0.13446509552169569</v>
      </c>
      <c r="M23">
        <v>8</v>
      </c>
      <c r="N23" t="s">
        <v>115</v>
      </c>
      <c r="O23" t="s">
        <v>240</v>
      </c>
      <c r="P23" t="s">
        <v>226</v>
      </c>
      <c r="Q23" t="s">
        <v>221</v>
      </c>
      <c r="R23" t="s">
        <v>222</v>
      </c>
    </row>
    <row r="24" spans="1:18" x14ac:dyDescent="0.3">
      <c r="A24" t="s">
        <v>112</v>
      </c>
      <c r="B24" s="20" t="s">
        <v>195</v>
      </c>
      <c r="C24" s="20" t="s">
        <v>196</v>
      </c>
      <c r="D24" s="20" t="s">
        <v>197</v>
      </c>
      <c r="E24" s="20" t="s">
        <v>198</v>
      </c>
      <c r="F24" s="20" t="s">
        <v>174</v>
      </c>
      <c r="G24" s="20" t="s">
        <v>199</v>
      </c>
      <c r="H24" s="20" t="s">
        <v>200</v>
      </c>
      <c r="I24" s="20" t="s">
        <v>201</v>
      </c>
      <c r="J24" s="20" t="s">
        <v>202</v>
      </c>
      <c r="K24" s="19">
        <v>0.13731942181955628</v>
      </c>
      <c r="M24">
        <v>9</v>
      </c>
      <c r="N24" t="s">
        <v>22</v>
      </c>
      <c r="O24" t="s">
        <v>221</v>
      </c>
      <c r="P24" t="s">
        <v>177</v>
      </c>
      <c r="Q24" t="s">
        <v>171</v>
      </c>
      <c r="R24" t="s">
        <v>172</v>
      </c>
    </row>
    <row r="25" spans="1:18" x14ac:dyDescent="0.3">
      <c r="A25" t="s">
        <v>113</v>
      </c>
      <c r="B25" s="20" t="s">
        <v>203</v>
      </c>
      <c r="C25" s="20" t="s">
        <v>204</v>
      </c>
      <c r="D25" s="20" t="s">
        <v>205</v>
      </c>
      <c r="E25" s="20" t="s">
        <v>206</v>
      </c>
      <c r="F25" s="20" t="s">
        <v>207</v>
      </c>
      <c r="G25" s="20" t="s">
        <v>208</v>
      </c>
      <c r="H25" s="20" t="s">
        <v>209</v>
      </c>
      <c r="I25" s="20" t="s">
        <v>210</v>
      </c>
      <c r="J25" s="20" t="s">
        <v>139</v>
      </c>
      <c r="K25" s="19">
        <v>0.13286967257948201</v>
      </c>
      <c r="M25">
        <v>10</v>
      </c>
      <c r="N25" t="s">
        <v>114</v>
      </c>
      <c r="O25" t="s">
        <v>241</v>
      </c>
      <c r="P25" t="s">
        <v>218</v>
      </c>
      <c r="Q25" t="s">
        <v>212</v>
      </c>
      <c r="R25" t="s">
        <v>213</v>
      </c>
    </row>
    <row r="26" spans="1:18" x14ac:dyDescent="0.3">
      <c r="A26" t="s">
        <v>114</v>
      </c>
      <c r="B26" s="20" t="s">
        <v>211</v>
      </c>
      <c r="C26" s="20" t="s">
        <v>212</v>
      </c>
      <c r="D26" s="20" t="s">
        <v>213</v>
      </c>
      <c r="E26" s="20" t="s">
        <v>214</v>
      </c>
      <c r="F26" s="20" t="s">
        <v>215</v>
      </c>
      <c r="G26" s="20" t="s">
        <v>216</v>
      </c>
      <c r="H26" s="20" t="s">
        <v>217</v>
      </c>
      <c r="I26" s="20" t="s">
        <v>218</v>
      </c>
      <c r="J26" s="20" t="s">
        <v>219</v>
      </c>
      <c r="K26" s="19">
        <v>0.1106808522933104</v>
      </c>
      <c r="M26">
        <v>11</v>
      </c>
      <c r="N26" t="s">
        <v>27</v>
      </c>
      <c r="O26" t="s">
        <v>242</v>
      </c>
      <c r="P26" t="s">
        <v>184</v>
      </c>
      <c r="Q26" t="s">
        <v>180</v>
      </c>
      <c r="R26" t="s">
        <v>130</v>
      </c>
    </row>
    <row r="27" spans="1:18" x14ac:dyDescent="0.3">
      <c r="A27" t="s">
        <v>115</v>
      </c>
      <c r="B27" s="20" t="s">
        <v>220</v>
      </c>
      <c r="C27" s="20" t="s">
        <v>221</v>
      </c>
      <c r="D27" s="20" t="s">
        <v>222</v>
      </c>
      <c r="E27" s="20" t="s">
        <v>223</v>
      </c>
      <c r="F27" s="20" t="s">
        <v>224</v>
      </c>
      <c r="G27" s="20" t="s">
        <v>200</v>
      </c>
      <c r="H27" s="20" t="s">
        <v>225</v>
      </c>
      <c r="I27" s="20" t="s">
        <v>226</v>
      </c>
      <c r="J27" s="20" t="s">
        <v>227</v>
      </c>
      <c r="K27" s="19">
        <v>0.13109605502729524</v>
      </c>
      <c r="M27">
        <v>12</v>
      </c>
      <c r="N27" t="s">
        <v>109</v>
      </c>
      <c r="O27" t="s">
        <v>243</v>
      </c>
      <c r="P27" t="s">
        <v>159</v>
      </c>
      <c r="Q27" t="s">
        <v>153</v>
      </c>
      <c r="R27" t="s">
        <v>154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50B56-D97C-4D8F-AE58-0909A2C9A370}">
  <dimension ref="A1"/>
  <sheetViews>
    <sheetView zoomScale="55" zoomScaleNormal="55" workbookViewId="0">
      <selection activeCell="B39" sqref="B39"/>
    </sheetView>
  </sheetViews>
  <sheetFormatPr baseColWidth="10" defaultRowHeight="14.4" x14ac:dyDescent="0.3"/>
  <sheetData/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29009-D966-4103-B22F-D5D7B6D2B92B}">
  <dimension ref="B1:K24"/>
  <sheetViews>
    <sheetView zoomScale="70" zoomScaleNormal="70" workbookViewId="0">
      <selection activeCell="U11" sqref="U11"/>
    </sheetView>
  </sheetViews>
  <sheetFormatPr baseColWidth="10" defaultRowHeight="14.4" x14ac:dyDescent="0.3"/>
  <sheetData>
    <row r="1" spans="9:11" x14ac:dyDescent="0.3">
      <c r="I1" t="s">
        <v>29</v>
      </c>
      <c r="K1" t="s">
        <v>30</v>
      </c>
    </row>
    <row r="20" spans="2:6" ht="43.2" x14ac:dyDescent="0.3">
      <c r="B20" s="3" t="s">
        <v>31</v>
      </c>
      <c r="C20" s="3" t="s">
        <v>32</v>
      </c>
      <c r="D20" s="3" t="s">
        <v>33</v>
      </c>
      <c r="E20" s="3" t="s">
        <v>34</v>
      </c>
      <c r="F20" s="3" t="s">
        <v>35</v>
      </c>
    </row>
    <row r="21" spans="2:6" ht="86.4" x14ac:dyDescent="0.3">
      <c r="B21" s="5" t="s">
        <v>5</v>
      </c>
      <c r="C21" s="4" t="s">
        <v>36</v>
      </c>
      <c r="D21" s="4" t="s">
        <v>37</v>
      </c>
      <c r="E21" s="4" t="s">
        <v>38</v>
      </c>
      <c r="F21" s="4" t="s">
        <v>39</v>
      </c>
    </row>
    <row r="22" spans="2:6" ht="72" x14ac:dyDescent="0.3">
      <c r="B22" s="5" t="s">
        <v>8</v>
      </c>
      <c r="C22" s="4" t="s">
        <v>40</v>
      </c>
      <c r="D22" s="4" t="s">
        <v>41</v>
      </c>
      <c r="E22" s="4" t="s">
        <v>38</v>
      </c>
      <c r="F22" s="4" t="s">
        <v>42</v>
      </c>
    </row>
    <row r="23" spans="2:6" ht="86.4" x14ac:dyDescent="0.3">
      <c r="B23" s="5" t="s">
        <v>6</v>
      </c>
      <c r="C23" s="4" t="s">
        <v>40</v>
      </c>
      <c r="D23" s="4" t="s">
        <v>37</v>
      </c>
      <c r="E23" s="4" t="s">
        <v>43</v>
      </c>
      <c r="F23" s="4" t="s">
        <v>44</v>
      </c>
    </row>
    <row r="24" spans="2:6" ht="72" x14ac:dyDescent="0.3">
      <c r="B24" s="5" t="s">
        <v>7</v>
      </c>
      <c r="C24" s="4" t="s">
        <v>36</v>
      </c>
      <c r="D24" s="4" t="s">
        <v>41</v>
      </c>
      <c r="E24" s="4" t="s">
        <v>43</v>
      </c>
      <c r="F24" s="4" t="s">
        <v>45</v>
      </c>
    </row>
  </sheetData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A991F-1ED3-4138-AEAD-6CC5146F654D}">
  <dimension ref="A17:O17"/>
  <sheetViews>
    <sheetView topLeftCell="A7" zoomScale="55" zoomScaleNormal="55" workbookViewId="0">
      <selection activeCell="K40" sqref="K40"/>
    </sheetView>
  </sheetViews>
  <sheetFormatPr baseColWidth="10" defaultRowHeight="14.4" x14ac:dyDescent="0.3"/>
  <cols>
    <col min="7" max="7" width="11.5546875" customWidth="1"/>
  </cols>
  <sheetData>
    <row r="17" spans="1:15" s="22" customFormat="1" ht="52.2" customHeight="1" x14ac:dyDescent="0.3">
      <c r="A17" s="21" t="s">
        <v>228</v>
      </c>
      <c r="H17" s="21" t="s">
        <v>229</v>
      </c>
      <c r="O17" s="21" t="s">
        <v>230</v>
      </c>
    </row>
  </sheetData>
  <pageMargins left="0.7" right="0.7" top="0.78740157499999996" bottom="0.78740157499999996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5B4F2-8701-46CD-AEA9-BBFEC6CE0008}">
  <dimension ref="A1:X30"/>
  <sheetViews>
    <sheetView workbookViewId="0">
      <selection activeCell="A16" sqref="A16:D18"/>
    </sheetView>
  </sheetViews>
  <sheetFormatPr baseColWidth="10" defaultRowHeight="14.4" x14ac:dyDescent="0.3"/>
  <cols>
    <col min="2" max="2" width="23.33203125" customWidth="1"/>
    <col min="3" max="3" width="27.5546875" customWidth="1"/>
    <col min="4" max="4" width="45.21875" customWidth="1"/>
  </cols>
  <sheetData>
    <row r="1" spans="1:24" x14ac:dyDescent="0.3"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7" t="s">
        <v>46</v>
      </c>
      <c r="X1" s="6" t="s">
        <v>47</v>
      </c>
    </row>
    <row r="2" spans="1:24" x14ac:dyDescent="0.3">
      <c r="F2" s="2" t="s">
        <v>18</v>
      </c>
      <c r="G2" s="2">
        <v>3004</v>
      </c>
      <c r="H2" s="2">
        <v>2996</v>
      </c>
      <c r="I2" s="2">
        <v>8</v>
      </c>
      <c r="J2" s="2">
        <v>0.74299999999999999</v>
      </c>
      <c r="K2" s="2">
        <v>88</v>
      </c>
      <c r="L2" s="2">
        <v>721</v>
      </c>
      <c r="M2" s="2">
        <v>49</v>
      </c>
      <c r="N2" s="2">
        <v>2138</v>
      </c>
      <c r="O2" s="2">
        <v>0.109</v>
      </c>
      <c r="P2" s="2">
        <v>0.64200000000000002</v>
      </c>
      <c r="Q2" s="2">
        <v>0.186</v>
      </c>
      <c r="R2" s="2">
        <v>0.97799999999999998</v>
      </c>
      <c r="S2" s="2">
        <v>0.748</v>
      </c>
      <c r="T2" s="2">
        <v>0.84699999999999998</v>
      </c>
      <c r="U2" s="2">
        <v>0.51700000000000002</v>
      </c>
      <c r="V2" s="2">
        <v>0.81699999999999995</v>
      </c>
      <c r="W2">
        <f>(O2+R2)/2</f>
        <v>0.54349999999999998</v>
      </c>
      <c r="X2">
        <f>K2/(K2+L2)</f>
        <v>0.10877626699629171</v>
      </c>
    </row>
    <row r="3" spans="1:24" x14ac:dyDescent="0.3">
      <c r="F3" s="2" t="s">
        <v>19</v>
      </c>
      <c r="G3" s="2">
        <v>3004</v>
      </c>
      <c r="H3" s="2">
        <v>2998</v>
      </c>
      <c r="I3" s="2">
        <v>6</v>
      </c>
      <c r="J3" s="2">
        <v>0.80200000000000005</v>
      </c>
      <c r="K3" s="2">
        <v>72</v>
      </c>
      <c r="L3" s="2">
        <v>530</v>
      </c>
      <c r="M3" s="2">
        <v>65</v>
      </c>
      <c r="N3" s="2">
        <v>2331</v>
      </c>
      <c r="O3" s="2">
        <v>0.12</v>
      </c>
      <c r="P3" s="2">
        <v>0.52600000000000002</v>
      </c>
      <c r="Q3" s="2">
        <v>0.19500000000000001</v>
      </c>
      <c r="R3" s="2">
        <v>0.97299999999999998</v>
      </c>
      <c r="S3" s="2">
        <v>0.81499999999999995</v>
      </c>
      <c r="T3" s="2">
        <v>0.88700000000000001</v>
      </c>
      <c r="U3" s="2">
        <v>0.54100000000000004</v>
      </c>
      <c r="V3" s="2">
        <v>0.85499999999999998</v>
      </c>
      <c r="W3">
        <f t="shared" ref="W3:W13" si="0">(O3+R3)/2</f>
        <v>0.54649999999999999</v>
      </c>
      <c r="X3">
        <f t="shared" ref="X3:X13" si="1">K3/(K3+L3)</f>
        <v>0.11960132890365449</v>
      </c>
    </row>
    <row r="4" spans="1:24" x14ac:dyDescent="0.3">
      <c r="F4" s="2" t="s">
        <v>20</v>
      </c>
      <c r="G4" s="2">
        <v>3004</v>
      </c>
      <c r="H4" s="2">
        <v>2990</v>
      </c>
      <c r="I4" s="2">
        <v>14</v>
      </c>
      <c r="J4" s="2">
        <v>0.79300000000000004</v>
      </c>
      <c r="K4" s="2">
        <v>87</v>
      </c>
      <c r="L4" s="2">
        <v>570</v>
      </c>
      <c r="M4" s="2">
        <v>50</v>
      </c>
      <c r="N4" s="2">
        <v>2283</v>
      </c>
      <c r="O4" s="2">
        <v>0.13200000000000001</v>
      </c>
      <c r="P4" s="2">
        <v>0.63500000000000001</v>
      </c>
      <c r="Q4" s="2">
        <v>0.219</v>
      </c>
      <c r="R4" s="2">
        <v>0.97899999999999998</v>
      </c>
      <c r="S4" s="2">
        <v>0.8</v>
      </c>
      <c r="T4" s="2">
        <v>0.88</v>
      </c>
      <c r="U4" s="2">
        <v>0.55000000000000004</v>
      </c>
      <c r="V4" s="2">
        <v>0.85</v>
      </c>
      <c r="W4">
        <f t="shared" si="0"/>
        <v>0.55549999999999999</v>
      </c>
      <c r="X4">
        <f t="shared" si="1"/>
        <v>0.13242009132420091</v>
      </c>
    </row>
    <row r="5" spans="1:24" x14ac:dyDescent="0.3">
      <c r="F5" s="2" t="s">
        <v>21</v>
      </c>
      <c r="G5" s="2">
        <v>3004</v>
      </c>
      <c r="H5" s="2">
        <v>2995</v>
      </c>
      <c r="I5" s="2">
        <v>9</v>
      </c>
      <c r="J5" s="2">
        <v>0.32900000000000001</v>
      </c>
      <c r="K5" s="2">
        <v>128</v>
      </c>
      <c r="L5" s="2">
        <v>2002</v>
      </c>
      <c r="M5" s="2">
        <v>8</v>
      </c>
      <c r="N5" s="2">
        <v>857</v>
      </c>
      <c r="O5" s="2">
        <v>0.06</v>
      </c>
      <c r="P5" s="2">
        <v>0.94099999999999995</v>
      </c>
      <c r="Q5" s="2">
        <v>0.113</v>
      </c>
      <c r="R5" s="2">
        <v>0.99099999999999999</v>
      </c>
      <c r="S5" s="2">
        <v>0.3</v>
      </c>
      <c r="T5" s="2">
        <v>0.46</v>
      </c>
      <c r="U5" s="2">
        <v>0.28699999999999998</v>
      </c>
      <c r="V5" s="2">
        <v>0.44400000000000001</v>
      </c>
      <c r="W5">
        <f t="shared" si="0"/>
        <v>0.52549999999999997</v>
      </c>
      <c r="X5">
        <f t="shared" si="1"/>
        <v>6.0093896713615022E-2</v>
      </c>
    </row>
    <row r="6" spans="1:24" x14ac:dyDescent="0.3">
      <c r="F6" s="2" t="s">
        <v>22</v>
      </c>
      <c r="G6" s="2">
        <v>3004</v>
      </c>
      <c r="H6" s="2">
        <v>2998</v>
      </c>
      <c r="I6" s="2">
        <v>6</v>
      </c>
      <c r="J6" s="2">
        <v>0.70199999999999996</v>
      </c>
      <c r="K6" s="2">
        <v>74</v>
      </c>
      <c r="L6" s="2">
        <v>830</v>
      </c>
      <c r="M6" s="2">
        <v>63</v>
      </c>
      <c r="N6" s="2">
        <v>2031</v>
      </c>
      <c r="O6" s="2">
        <v>8.2000000000000003E-2</v>
      </c>
      <c r="P6" s="2">
        <v>0.54</v>
      </c>
      <c r="Q6" s="2">
        <v>0.14199999999999999</v>
      </c>
      <c r="R6" s="2">
        <v>0.97</v>
      </c>
      <c r="S6" s="2">
        <v>0.71</v>
      </c>
      <c r="T6" s="2">
        <v>0.82</v>
      </c>
      <c r="U6" s="2">
        <v>0.48099999999999998</v>
      </c>
      <c r="V6" s="2">
        <v>0.78900000000000003</v>
      </c>
      <c r="W6">
        <f t="shared" si="0"/>
        <v>0.52600000000000002</v>
      </c>
      <c r="X6">
        <f t="shared" si="1"/>
        <v>8.185840707964602E-2</v>
      </c>
    </row>
    <row r="7" spans="1:24" x14ac:dyDescent="0.3">
      <c r="F7" s="2" t="s">
        <v>23</v>
      </c>
      <c r="G7" s="2">
        <v>3004</v>
      </c>
      <c r="H7" s="2">
        <v>2996</v>
      </c>
      <c r="I7" s="2">
        <v>8</v>
      </c>
      <c r="J7" s="2">
        <v>0.78</v>
      </c>
      <c r="K7" s="2">
        <v>65</v>
      </c>
      <c r="L7" s="2">
        <v>588</v>
      </c>
      <c r="M7" s="2">
        <v>71</v>
      </c>
      <c r="N7" s="2">
        <v>2272</v>
      </c>
      <c r="O7" s="2">
        <v>0.1</v>
      </c>
      <c r="P7" s="2">
        <v>0.47799999999999998</v>
      </c>
      <c r="Q7" s="2">
        <v>0.16500000000000001</v>
      </c>
      <c r="R7" s="2">
        <v>0.97</v>
      </c>
      <c r="S7" s="2">
        <v>0.79400000000000004</v>
      </c>
      <c r="T7" s="2">
        <v>0.873</v>
      </c>
      <c r="U7" s="2">
        <v>0.51900000000000002</v>
      </c>
      <c r="V7" s="2">
        <v>0.84099999999999997</v>
      </c>
      <c r="W7">
        <f t="shared" si="0"/>
        <v>0.53500000000000003</v>
      </c>
      <c r="X7">
        <f t="shared" si="1"/>
        <v>9.9540581929555894E-2</v>
      </c>
    </row>
    <row r="8" spans="1:24" x14ac:dyDescent="0.3">
      <c r="F8" s="2" t="s">
        <v>24</v>
      </c>
      <c r="G8" s="2">
        <v>3004</v>
      </c>
      <c r="H8" s="2">
        <v>2989</v>
      </c>
      <c r="I8" s="2">
        <v>15</v>
      </c>
      <c r="J8" s="2">
        <v>0.69299999999999995</v>
      </c>
      <c r="K8" s="2">
        <v>82</v>
      </c>
      <c r="L8" s="2">
        <v>864</v>
      </c>
      <c r="M8" s="2">
        <v>54</v>
      </c>
      <c r="N8" s="2">
        <v>1989</v>
      </c>
      <c r="O8" s="2">
        <v>8.6999999999999994E-2</v>
      </c>
      <c r="P8" s="2">
        <v>0.60299999999999998</v>
      </c>
      <c r="Q8" s="2">
        <v>0.152</v>
      </c>
      <c r="R8" s="2">
        <v>0.97399999999999998</v>
      </c>
      <c r="S8" s="2">
        <v>0.69699999999999995</v>
      </c>
      <c r="T8" s="2">
        <v>0.81200000000000006</v>
      </c>
      <c r="U8" s="2">
        <v>0.48199999999999998</v>
      </c>
      <c r="V8" s="2">
        <v>0.78200000000000003</v>
      </c>
      <c r="W8">
        <f t="shared" si="0"/>
        <v>0.53049999999999997</v>
      </c>
      <c r="X8">
        <f t="shared" si="1"/>
        <v>8.6680761099365747E-2</v>
      </c>
    </row>
    <row r="9" spans="1:24" x14ac:dyDescent="0.3">
      <c r="F9" s="2" t="s">
        <v>25</v>
      </c>
      <c r="G9" s="2">
        <v>3004</v>
      </c>
      <c r="H9" s="2">
        <v>3002</v>
      </c>
      <c r="I9" s="2">
        <v>2</v>
      </c>
      <c r="J9" s="2">
        <v>0.71899999999999997</v>
      </c>
      <c r="K9" s="2">
        <v>77</v>
      </c>
      <c r="L9" s="2">
        <v>785</v>
      </c>
      <c r="M9" s="2">
        <v>60</v>
      </c>
      <c r="N9" s="2">
        <v>2080</v>
      </c>
      <c r="O9" s="2">
        <v>8.8999999999999996E-2</v>
      </c>
      <c r="P9" s="2">
        <v>0.56200000000000006</v>
      </c>
      <c r="Q9" s="2">
        <v>0.154</v>
      </c>
      <c r="R9" s="2">
        <v>0.97199999999999998</v>
      </c>
      <c r="S9" s="2">
        <v>0.72599999999999998</v>
      </c>
      <c r="T9" s="2">
        <v>0.83099999999999996</v>
      </c>
      <c r="U9" s="2">
        <v>0.49299999999999999</v>
      </c>
      <c r="V9" s="2">
        <v>0.8</v>
      </c>
      <c r="W9">
        <f t="shared" si="0"/>
        <v>0.53049999999999997</v>
      </c>
      <c r="X9">
        <f t="shared" si="1"/>
        <v>8.9327146171693739E-2</v>
      </c>
    </row>
    <row r="10" spans="1:24" x14ac:dyDescent="0.3">
      <c r="F10" s="2" t="s">
        <v>26</v>
      </c>
      <c r="G10" s="2">
        <v>3004</v>
      </c>
      <c r="H10" s="2">
        <v>3002</v>
      </c>
      <c r="I10" s="2">
        <v>2</v>
      </c>
      <c r="J10" s="2">
        <v>0.72799999999999998</v>
      </c>
      <c r="K10" s="2">
        <v>53</v>
      </c>
      <c r="L10" s="2">
        <v>734</v>
      </c>
      <c r="M10" s="2">
        <v>83</v>
      </c>
      <c r="N10" s="2">
        <v>2132</v>
      </c>
      <c r="O10" s="2">
        <v>6.7000000000000004E-2</v>
      </c>
      <c r="P10" s="2">
        <v>0.39</v>
      </c>
      <c r="Q10" s="2">
        <v>0.115</v>
      </c>
      <c r="R10" s="2">
        <v>0.96299999999999997</v>
      </c>
      <c r="S10" s="2">
        <v>0.74399999999999999</v>
      </c>
      <c r="T10" s="2">
        <v>0.83899999999999997</v>
      </c>
      <c r="U10" s="2">
        <v>0.47699999999999998</v>
      </c>
      <c r="V10" s="2">
        <v>0.80600000000000005</v>
      </c>
      <c r="W10">
        <f t="shared" si="0"/>
        <v>0.51500000000000001</v>
      </c>
      <c r="X10">
        <f t="shared" si="1"/>
        <v>6.734434561626429E-2</v>
      </c>
    </row>
    <row r="11" spans="1:24" x14ac:dyDescent="0.3">
      <c r="F11" s="2" t="s">
        <v>27</v>
      </c>
      <c r="G11" s="2">
        <v>3004</v>
      </c>
      <c r="H11" s="2">
        <v>2138</v>
      </c>
      <c r="I11" s="2">
        <v>866</v>
      </c>
      <c r="J11" s="2">
        <v>0.3</v>
      </c>
      <c r="K11" s="2">
        <v>95</v>
      </c>
      <c r="L11" s="2">
        <v>1497</v>
      </c>
      <c r="M11" s="2">
        <v>0</v>
      </c>
      <c r="N11" s="2">
        <v>546</v>
      </c>
      <c r="O11" s="2">
        <v>0.06</v>
      </c>
      <c r="P11" s="2">
        <v>1</v>
      </c>
      <c r="Q11" s="2">
        <v>0.113</v>
      </c>
      <c r="R11" s="2">
        <v>1</v>
      </c>
      <c r="S11" s="2">
        <v>0.26700000000000002</v>
      </c>
      <c r="T11" s="2">
        <v>0.42199999999999999</v>
      </c>
      <c r="U11" s="2">
        <v>0.26700000000000002</v>
      </c>
      <c r="V11" s="2">
        <v>0.40799999999999997</v>
      </c>
      <c r="W11">
        <f t="shared" si="0"/>
        <v>0.53</v>
      </c>
      <c r="X11">
        <f t="shared" si="1"/>
        <v>5.9673366834170856E-2</v>
      </c>
    </row>
    <row r="12" spans="1:24" ht="15" thickBot="1" x14ac:dyDescent="0.35">
      <c r="F12" s="2" t="s">
        <v>28</v>
      </c>
      <c r="G12" s="2">
        <v>3004</v>
      </c>
      <c r="H12" s="2">
        <v>3000</v>
      </c>
      <c r="I12" s="2">
        <v>4</v>
      </c>
      <c r="J12" s="2">
        <v>0.84899999999999998</v>
      </c>
      <c r="K12" s="2">
        <v>47</v>
      </c>
      <c r="L12" s="2">
        <v>364</v>
      </c>
      <c r="M12" s="2">
        <v>90</v>
      </c>
      <c r="N12" s="2">
        <v>2499</v>
      </c>
      <c r="O12" s="2">
        <v>0.114</v>
      </c>
      <c r="P12" s="2">
        <v>0.34300000000000003</v>
      </c>
      <c r="Q12" s="2">
        <v>0.17199999999999999</v>
      </c>
      <c r="R12" s="2">
        <v>0.96499999999999997</v>
      </c>
      <c r="S12" s="2">
        <v>0.873</v>
      </c>
      <c r="T12" s="2">
        <v>0.91700000000000004</v>
      </c>
      <c r="U12" s="2">
        <v>0.54400000000000004</v>
      </c>
      <c r="V12" s="2">
        <v>0.88300000000000001</v>
      </c>
      <c r="W12">
        <f t="shared" si="0"/>
        <v>0.53949999999999998</v>
      </c>
      <c r="X12">
        <f t="shared" si="1"/>
        <v>0.11435523114355231</v>
      </c>
    </row>
    <row r="13" spans="1:24" ht="29.4" thickBot="1" x14ac:dyDescent="0.35">
      <c r="F13" s="8" t="s">
        <v>48</v>
      </c>
      <c r="G13" s="9">
        <v>3004</v>
      </c>
      <c r="H13" s="9">
        <v>2996</v>
      </c>
      <c r="I13" s="9">
        <v>8</v>
      </c>
      <c r="J13" s="9">
        <v>0.88600000000000001</v>
      </c>
      <c r="K13" s="9">
        <v>50</v>
      </c>
      <c r="L13" s="9">
        <v>256</v>
      </c>
      <c r="M13" s="9">
        <v>86</v>
      </c>
      <c r="N13" s="9">
        <v>2604</v>
      </c>
      <c r="O13" s="9">
        <v>0.16300000000000001</v>
      </c>
      <c r="P13" s="9">
        <v>0.36799999999999999</v>
      </c>
      <c r="Q13" s="9">
        <v>0.22600000000000001</v>
      </c>
      <c r="R13" s="9">
        <v>0.96799999999999997</v>
      </c>
      <c r="S13" s="9">
        <v>0.91</v>
      </c>
      <c r="T13" s="9">
        <v>0.93799999999999994</v>
      </c>
      <c r="U13" s="9">
        <v>0.58199999999999996</v>
      </c>
      <c r="V13" s="9">
        <v>0.90600000000000003</v>
      </c>
      <c r="W13">
        <f t="shared" si="0"/>
        <v>0.5655</v>
      </c>
      <c r="X13">
        <f t="shared" si="1"/>
        <v>0.16339869281045752</v>
      </c>
    </row>
    <row r="16" spans="1:24" x14ac:dyDescent="0.3">
      <c r="A16" s="10" t="s">
        <v>0</v>
      </c>
      <c r="B16" s="10" t="s">
        <v>49</v>
      </c>
      <c r="C16" s="10" t="s">
        <v>50</v>
      </c>
      <c r="D16" s="10" t="s">
        <v>51</v>
      </c>
    </row>
    <row r="17" spans="1:4" x14ac:dyDescent="0.3">
      <c r="A17" s="11" t="s">
        <v>52</v>
      </c>
      <c r="B17" s="12" t="s">
        <v>53</v>
      </c>
      <c r="C17" s="12" t="s">
        <v>54</v>
      </c>
      <c r="D17" s="12" t="s">
        <v>55</v>
      </c>
    </row>
    <row r="18" spans="1:4" ht="57.6" x14ac:dyDescent="0.3">
      <c r="A18" s="11" t="s">
        <v>56</v>
      </c>
      <c r="B18" s="12" t="s">
        <v>57</v>
      </c>
      <c r="C18" s="12" t="s">
        <v>58</v>
      </c>
      <c r="D18" s="12" t="s">
        <v>55</v>
      </c>
    </row>
    <row r="19" spans="1:4" ht="43.2" x14ac:dyDescent="0.3">
      <c r="A19" s="11" t="s">
        <v>59</v>
      </c>
      <c r="B19" s="12" t="s">
        <v>60</v>
      </c>
      <c r="C19" s="12" t="s">
        <v>61</v>
      </c>
      <c r="D19" s="12" t="s">
        <v>55</v>
      </c>
    </row>
    <row r="20" spans="1:4" ht="28.8" x14ac:dyDescent="0.3">
      <c r="A20" s="11" t="s">
        <v>62</v>
      </c>
      <c r="B20" s="12" t="s">
        <v>63</v>
      </c>
      <c r="C20" s="12" t="s">
        <v>64</v>
      </c>
      <c r="D20" s="12" t="s">
        <v>55</v>
      </c>
    </row>
    <row r="21" spans="1:4" ht="28.8" x14ac:dyDescent="0.3">
      <c r="A21" s="11" t="s">
        <v>65</v>
      </c>
      <c r="B21" s="12" t="s">
        <v>66</v>
      </c>
      <c r="C21" s="12" t="s">
        <v>67</v>
      </c>
      <c r="D21" s="12" t="s">
        <v>68</v>
      </c>
    </row>
    <row r="22" spans="1:4" ht="28.8" x14ac:dyDescent="0.3">
      <c r="A22" s="11" t="s">
        <v>69</v>
      </c>
      <c r="B22" s="12" t="s">
        <v>70</v>
      </c>
      <c r="C22" s="12" t="s">
        <v>71</v>
      </c>
      <c r="D22" s="12" t="s">
        <v>72</v>
      </c>
    </row>
    <row r="23" spans="1:4" ht="28.8" x14ac:dyDescent="0.3">
      <c r="A23" s="11" t="s">
        <v>73</v>
      </c>
      <c r="B23" s="12" t="s">
        <v>74</v>
      </c>
      <c r="C23" s="12" t="s">
        <v>67</v>
      </c>
      <c r="D23" s="12" t="s">
        <v>68</v>
      </c>
    </row>
    <row r="24" spans="1:4" ht="28.8" x14ac:dyDescent="0.3">
      <c r="A24" s="11" t="s">
        <v>75</v>
      </c>
      <c r="B24" s="12" t="s">
        <v>76</v>
      </c>
      <c r="C24" s="12" t="s">
        <v>77</v>
      </c>
      <c r="D24" s="12" t="s">
        <v>68</v>
      </c>
    </row>
    <row r="25" spans="1:4" ht="43.2" x14ac:dyDescent="0.3">
      <c r="A25" s="11" t="s">
        <v>78</v>
      </c>
      <c r="B25" s="12" t="s">
        <v>79</v>
      </c>
      <c r="C25" s="12" t="s">
        <v>71</v>
      </c>
      <c r="D25" s="12" t="s">
        <v>72</v>
      </c>
    </row>
    <row r="26" spans="1:4" x14ac:dyDescent="0.3">
      <c r="A26" s="11" t="s">
        <v>80</v>
      </c>
      <c r="B26" s="12" t="s">
        <v>81</v>
      </c>
      <c r="C26" s="12" t="s">
        <v>82</v>
      </c>
      <c r="D26" s="12" t="s">
        <v>68</v>
      </c>
    </row>
    <row r="27" spans="1:4" ht="28.8" x14ac:dyDescent="0.3">
      <c r="A27" s="11" t="s">
        <v>83</v>
      </c>
      <c r="B27" s="12" t="s">
        <v>81</v>
      </c>
      <c r="C27" s="12" t="s">
        <v>84</v>
      </c>
      <c r="D27" s="12" t="s">
        <v>68</v>
      </c>
    </row>
    <row r="28" spans="1:4" x14ac:dyDescent="0.3">
      <c r="A28" s="11" t="s">
        <v>85</v>
      </c>
      <c r="B28" s="12" t="s">
        <v>86</v>
      </c>
      <c r="C28" s="12" t="s">
        <v>87</v>
      </c>
      <c r="D28" s="12" t="s">
        <v>68</v>
      </c>
    </row>
    <row r="29" spans="1:4" ht="28.8" x14ac:dyDescent="0.3">
      <c r="A29" s="11" t="s">
        <v>88</v>
      </c>
      <c r="B29" s="12" t="s">
        <v>89</v>
      </c>
      <c r="C29" s="12" t="s">
        <v>90</v>
      </c>
      <c r="D29" s="12" t="s">
        <v>68</v>
      </c>
    </row>
    <row r="30" spans="1:4" ht="28.8" x14ac:dyDescent="0.3">
      <c r="A30" s="11" t="s">
        <v>91</v>
      </c>
      <c r="B30" s="12" t="s">
        <v>92</v>
      </c>
      <c r="C30" s="12" t="s">
        <v>93</v>
      </c>
      <c r="D30" s="12" t="s">
        <v>94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C4656-E961-4C50-9B4C-04D78D365D3D}">
  <dimension ref="A1:S21"/>
  <sheetViews>
    <sheetView topLeftCell="D1" workbookViewId="0">
      <selection sqref="A1:S13"/>
    </sheetView>
  </sheetViews>
  <sheetFormatPr baseColWidth="10"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7" t="s">
        <v>46</v>
      </c>
      <c r="S1" s="6" t="s">
        <v>47</v>
      </c>
    </row>
    <row r="2" spans="1:19" x14ac:dyDescent="0.3">
      <c r="A2" s="2" t="s">
        <v>18</v>
      </c>
      <c r="B2" s="2">
        <v>3004</v>
      </c>
      <c r="C2" s="2">
        <v>2996</v>
      </c>
      <c r="D2" s="2">
        <v>8</v>
      </c>
      <c r="E2" s="2">
        <v>0.74299999999999999</v>
      </c>
      <c r="F2" s="2">
        <v>88</v>
      </c>
      <c r="G2" s="2">
        <v>721</v>
      </c>
      <c r="H2" s="2">
        <v>49</v>
      </c>
      <c r="I2" s="2">
        <v>2138</v>
      </c>
      <c r="J2" s="2">
        <v>0.109</v>
      </c>
      <c r="K2" s="2">
        <v>0.64200000000000002</v>
      </c>
      <c r="L2" s="2">
        <v>0.186</v>
      </c>
      <c r="M2" s="2">
        <v>0.97799999999999998</v>
      </c>
      <c r="N2" s="2">
        <v>0.748</v>
      </c>
      <c r="O2" s="2">
        <v>0.84699999999999998</v>
      </c>
      <c r="P2" s="2">
        <v>0.51700000000000002</v>
      </c>
      <c r="Q2" s="2">
        <v>0.81699999999999995</v>
      </c>
      <c r="R2">
        <f>(J2+M2)/2</f>
        <v>0.54349999999999998</v>
      </c>
      <c r="S2">
        <f>F2/(F2+G2)</f>
        <v>0.10877626699629171</v>
      </c>
    </row>
    <row r="3" spans="1:19" x14ac:dyDescent="0.3">
      <c r="A3" s="2" t="s">
        <v>20</v>
      </c>
      <c r="B3" s="2">
        <v>3004</v>
      </c>
      <c r="C3" s="2">
        <v>2990</v>
      </c>
      <c r="D3" s="2">
        <v>14</v>
      </c>
      <c r="E3" s="2">
        <v>0.79300000000000004</v>
      </c>
      <c r="F3" s="2">
        <v>87</v>
      </c>
      <c r="G3" s="2">
        <v>570</v>
      </c>
      <c r="H3" s="2">
        <v>50</v>
      </c>
      <c r="I3" s="2">
        <v>2283</v>
      </c>
      <c r="J3" s="2">
        <v>0.13200000000000001</v>
      </c>
      <c r="K3" s="2">
        <v>0.63500000000000001</v>
      </c>
      <c r="L3" s="2">
        <v>0.219</v>
      </c>
      <c r="M3" s="2">
        <v>0.97899999999999998</v>
      </c>
      <c r="N3" s="2">
        <v>0.8</v>
      </c>
      <c r="O3" s="2">
        <v>0.88</v>
      </c>
      <c r="P3" s="2">
        <v>0.55000000000000004</v>
      </c>
      <c r="Q3" s="2">
        <v>0.85</v>
      </c>
      <c r="R3">
        <f>(J3+M3)/2</f>
        <v>0.55549999999999999</v>
      </c>
      <c r="S3">
        <f>F3/(F3+G3)</f>
        <v>0.13242009132420091</v>
      </c>
    </row>
    <row r="4" spans="1:19" x14ac:dyDescent="0.3">
      <c r="A4" s="2" t="s">
        <v>19</v>
      </c>
      <c r="B4" s="2">
        <v>3004</v>
      </c>
      <c r="C4" s="2">
        <v>2998</v>
      </c>
      <c r="D4" s="2">
        <v>6</v>
      </c>
      <c r="E4" s="2">
        <v>0.80200000000000005</v>
      </c>
      <c r="F4" s="2">
        <v>72</v>
      </c>
      <c r="G4" s="2">
        <v>530</v>
      </c>
      <c r="H4" s="2">
        <v>65</v>
      </c>
      <c r="I4" s="2">
        <v>2331</v>
      </c>
      <c r="J4" s="2">
        <v>0.12</v>
      </c>
      <c r="K4" s="2">
        <v>0.52600000000000002</v>
      </c>
      <c r="L4" s="2">
        <v>0.19500000000000001</v>
      </c>
      <c r="M4" s="2">
        <v>0.97299999999999998</v>
      </c>
      <c r="N4" s="2">
        <v>0.81499999999999995</v>
      </c>
      <c r="O4" s="2">
        <v>0.88700000000000001</v>
      </c>
      <c r="P4" s="2">
        <v>0.54100000000000004</v>
      </c>
      <c r="Q4" s="2">
        <v>0.85499999999999998</v>
      </c>
      <c r="R4">
        <f>(J4+M4)/2</f>
        <v>0.54649999999999999</v>
      </c>
      <c r="S4">
        <f>F4/(F4+G4)</f>
        <v>0.11960132890365449</v>
      </c>
    </row>
    <row r="5" spans="1:19" ht="15" thickBot="1" x14ac:dyDescent="0.35">
      <c r="A5" s="2" t="s">
        <v>26</v>
      </c>
      <c r="B5" s="2">
        <v>3004</v>
      </c>
      <c r="C5" s="2">
        <v>3002</v>
      </c>
      <c r="D5" s="2">
        <v>2</v>
      </c>
      <c r="E5" s="2">
        <v>0.72799999999999998</v>
      </c>
      <c r="F5" s="2">
        <v>53</v>
      </c>
      <c r="G5" s="2">
        <v>734</v>
      </c>
      <c r="H5" s="2">
        <v>83</v>
      </c>
      <c r="I5" s="2">
        <v>2132</v>
      </c>
      <c r="J5" s="2">
        <v>6.7000000000000004E-2</v>
      </c>
      <c r="K5" s="2">
        <v>0.39</v>
      </c>
      <c r="L5" s="2">
        <v>0.115</v>
      </c>
      <c r="M5" s="2">
        <v>0.96299999999999997</v>
      </c>
      <c r="N5" s="2">
        <v>0.74399999999999999</v>
      </c>
      <c r="O5" s="2">
        <v>0.83899999999999997</v>
      </c>
      <c r="P5" s="2">
        <v>0.47699999999999998</v>
      </c>
      <c r="Q5" s="2">
        <v>0.80600000000000005</v>
      </c>
      <c r="R5">
        <f>(J5+M5)/2</f>
        <v>0.51500000000000001</v>
      </c>
      <c r="S5">
        <f>F5/(F5+G5)</f>
        <v>6.734434561626429E-2</v>
      </c>
    </row>
    <row r="6" spans="1:19" ht="15" thickBot="1" x14ac:dyDescent="0.35">
      <c r="A6" s="16" t="s">
        <v>48</v>
      </c>
      <c r="B6" s="9">
        <v>3004</v>
      </c>
      <c r="C6" s="9">
        <v>2996</v>
      </c>
      <c r="D6" s="9">
        <v>8</v>
      </c>
      <c r="E6" s="9">
        <v>0.88600000000000001</v>
      </c>
      <c r="F6" s="9">
        <v>50</v>
      </c>
      <c r="G6" s="9">
        <v>256</v>
      </c>
      <c r="H6" s="9">
        <v>86</v>
      </c>
      <c r="I6" s="9">
        <v>2604</v>
      </c>
      <c r="J6" s="9">
        <v>0.16300000000000001</v>
      </c>
      <c r="K6" s="9">
        <v>0.36799999999999999</v>
      </c>
      <c r="L6" s="9">
        <v>0.22600000000000001</v>
      </c>
      <c r="M6" s="9">
        <v>0.96799999999999997</v>
      </c>
      <c r="N6" s="9">
        <v>0.91</v>
      </c>
      <c r="O6" s="9">
        <v>0.93799999999999994</v>
      </c>
      <c r="P6" s="9">
        <v>0.58199999999999996</v>
      </c>
      <c r="Q6" s="9">
        <v>0.90600000000000003</v>
      </c>
      <c r="R6">
        <f t="shared" ref="R6" si="0">(J6+M6)/2</f>
        <v>0.5655</v>
      </c>
      <c r="S6">
        <f t="shared" ref="S6" si="1">F6/(F6+G6)</f>
        <v>0.16339869281045752</v>
      </c>
    </row>
    <row r="7" spans="1:19" x14ac:dyDescent="0.3">
      <c r="A7" s="2" t="s">
        <v>22</v>
      </c>
      <c r="B7" s="2">
        <v>3004</v>
      </c>
      <c r="C7" s="2">
        <v>2998</v>
      </c>
      <c r="D7" s="2">
        <v>6</v>
      </c>
      <c r="E7" s="2">
        <v>0.70199999999999996</v>
      </c>
      <c r="F7" s="2">
        <v>74</v>
      </c>
      <c r="G7" s="2">
        <v>830</v>
      </c>
      <c r="H7" s="2">
        <v>63</v>
      </c>
      <c r="I7" s="2">
        <v>2031</v>
      </c>
      <c r="J7" s="2">
        <v>8.2000000000000003E-2</v>
      </c>
      <c r="K7" s="2">
        <v>0.54</v>
      </c>
      <c r="L7" s="2">
        <v>0.14199999999999999</v>
      </c>
      <c r="M7" s="2">
        <v>0.97</v>
      </c>
      <c r="N7" s="2">
        <v>0.71</v>
      </c>
      <c r="O7" s="2">
        <v>0.82</v>
      </c>
      <c r="P7" s="2">
        <v>0.48099999999999998</v>
      </c>
      <c r="Q7" s="2">
        <v>0.78900000000000003</v>
      </c>
      <c r="R7">
        <f t="shared" ref="R7:R13" si="2">(J7+M7)/2</f>
        <v>0.52600000000000002</v>
      </c>
      <c r="S7">
        <f t="shared" ref="S7:S13" si="3">F7/(F7+G7)</f>
        <v>8.185840707964602E-2</v>
      </c>
    </row>
    <row r="8" spans="1:19" x14ac:dyDescent="0.3">
      <c r="A8" s="2" t="s">
        <v>27</v>
      </c>
      <c r="B8" s="2">
        <v>3004</v>
      </c>
      <c r="C8" s="2">
        <v>2138</v>
      </c>
      <c r="D8" s="2">
        <v>866</v>
      </c>
      <c r="E8" s="2">
        <v>0.3</v>
      </c>
      <c r="F8" s="2">
        <v>95</v>
      </c>
      <c r="G8" s="2">
        <v>1497</v>
      </c>
      <c r="H8" s="2">
        <v>0</v>
      </c>
      <c r="I8" s="2">
        <v>546</v>
      </c>
      <c r="J8" s="2">
        <v>0.06</v>
      </c>
      <c r="K8" s="2">
        <v>1</v>
      </c>
      <c r="L8" s="2">
        <v>0.113</v>
      </c>
      <c r="M8" s="2">
        <v>1</v>
      </c>
      <c r="N8" s="2">
        <v>0.26700000000000002</v>
      </c>
      <c r="O8" s="2">
        <v>0.42199999999999999</v>
      </c>
      <c r="P8" s="2">
        <v>0.26700000000000002</v>
      </c>
      <c r="Q8" s="2">
        <v>0.40799999999999997</v>
      </c>
      <c r="R8">
        <f t="shared" si="2"/>
        <v>0.53</v>
      </c>
      <c r="S8">
        <f t="shared" si="3"/>
        <v>5.9673366834170856E-2</v>
      </c>
    </row>
    <row r="9" spans="1:19" x14ac:dyDescent="0.3">
      <c r="A9" s="2" t="s">
        <v>24</v>
      </c>
      <c r="B9" s="2">
        <v>3004</v>
      </c>
      <c r="C9" s="2">
        <v>2989</v>
      </c>
      <c r="D9" s="2">
        <v>15</v>
      </c>
      <c r="E9" s="2">
        <v>0.69299999999999995</v>
      </c>
      <c r="F9" s="2">
        <v>82</v>
      </c>
      <c r="G9" s="2">
        <v>864</v>
      </c>
      <c r="H9" s="2">
        <v>54</v>
      </c>
      <c r="I9" s="2">
        <v>1989</v>
      </c>
      <c r="J9" s="2">
        <v>8.6999999999999994E-2</v>
      </c>
      <c r="K9" s="2">
        <v>0.60299999999999998</v>
      </c>
      <c r="L9" s="2">
        <v>0.152</v>
      </c>
      <c r="M9" s="2">
        <v>0.97399999999999998</v>
      </c>
      <c r="N9" s="2">
        <v>0.69699999999999995</v>
      </c>
      <c r="O9" s="2">
        <v>0.81200000000000006</v>
      </c>
      <c r="P9" s="2">
        <v>0.48199999999999998</v>
      </c>
      <c r="Q9" s="2">
        <v>0.78200000000000003</v>
      </c>
      <c r="R9">
        <f t="shared" si="2"/>
        <v>0.53049999999999997</v>
      </c>
      <c r="S9">
        <f t="shared" si="3"/>
        <v>8.6680761099365747E-2</v>
      </c>
    </row>
    <row r="10" spans="1:19" x14ac:dyDescent="0.3">
      <c r="A10" s="2" t="s">
        <v>23</v>
      </c>
      <c r="B10" s="2">
        <v>3004</v>
      </c>
      <c r="C10" s="2">
        <v>2996</v>
      </c>
      <c r="D10" s="2">
        <v>8</v>
      </c>
      <c r="E10" s="2">
        <v>0.78</v>
      </c>
      <c r="F10" s="2">
        <v>65</v>
      </c>
      <c r="G10" s="2">
        <v>588</v>
      </c>
      <c r="H10" s="2">
        <v>71</v>
      </c>
      <c r="I10" s="2">
        <v>2272</v>
      </c>
      <c r="J10" s="2">
        <v>0.1</v>
      </c>
      <c r="K10" s="2">
        <v>0.47799999999999998</v>
      </c>
      <c r="L10" s="2">
        <v>0.16500000000000001</v>
      </c>
      <c r="M10" s="2">
        <v>0.97</v>
      </c>
      <c r="N10" s="2">
        <v>0.79400000000000004</v>
      </c>
      <c r="O10" s="2">
        <v>0.873</v>
      </c>
      <c r="P10" s="2">
        <v>0.51900000000000002</v>
      </c>
      <c r="Q10" s="2">
        <v>0.84099999999999997</v>
      </c>
      <c r="R10">
        <f t="shared" si="2"/>
        <v>0.53500000000000003</v>
      </c>
      <c r="S10">
        <f t="shared" si="3"/>
        <v>9.9540581929555894E-2</v>
      </c>
    </row>
    <row r="11" spans="1:19" x14ac:dyDescent="0.3">
      <c r="A11" s="2" t="s">
        <v>25</v>
      </c>
      <c r="B11" s="2">
        <v>3004</v>
      </c>
      <c r="C11" s="2">
        <v>3002</v>
      </c>
      <c r="D11" s="2">
        <v>2</v>
      </c>
      <c r="E11" s="2">
        <v>0.71899999999999997</v>
      </c>
      <c r="F11" s="2">
        <v>77</v>
      </c>
      <c r="G11" s="2">
        <v>785</v>
      </c>
      <c r="H11" s="2">
        <v>60</v>
      </c>
      <c r="I11" s="2">
        <v>2080</v>
      </c>
      <c r="J11" s="2">
        <v>8.8999999999999996E-2</v>
      </c>
      <c r="K11" s="2">
        <v>0.56200000000000006</v>
      </c>
      <c r="L11" s="2">
        <v>0.154</v>
      </c>
      <c r="M11" s="2">
        <v>0.97199999999999998</v>
      </c>
      <c r="N11" s="2">
        <v>0.72599999999999998</v>
      </c>
      <c r="O11" s="2">
        <v>0.83099999999999996</v>
      </c>
      <c r="P11" s="2">
        <v>0.49299999999999999</v>
      </c>
      <c r="Q11" s="2">
        <v>0.8</v>
      </c>
      <c r="R11">
        <f t="shared" si="2"/>
        <v>0.53049999999999997</v>
      </c>
      <c r="S11">
        <f t="shared" si="3"/>
        <v>8.9327146171693739E-2</v>
      </c>
    </row>
    <row r="12" spans="1:19" x14ac:dyDescent="0.3">
      <c r="A12" s="2" t="s">
        <v>21</v>
      </c>
      <c r="B12" s="2">
        <v>3004</v>
      </c>
      <c r="C12" s="2">
        <v>2995</v>
      </c>
      <c r="D12" s="2">
        <v>9</v>
      </c>
      <c r="E12" s="2">
        <v>0.32900000000000001</v>
      </c>
      <c r="F12" s="2">
        <v>128</v>
      </c>
      <c r="G12" s="2">
        <v>2002</v>
      </c>
      <c r="H12" s="2">
        <v>8</v>
      </c>
      <c r="I12" s="2">
        <v>857</v>
      </c>
      <c r="J12" s="2">
        <v>0.06</v>
      </c>
      <c r="K12" s="2">
        <v>0.94099999999999995</v>
      </c>
      <c r="L12" s="2">
        <v>0.113</v>
      </c>
      <c r="M12" s="2">
        <v>0.99099999999999999</v>
      </c>
      <c r="N12" s="2">
        <v>0.3</v>
      </c>
      <c r="O12" s="2">
        <v>0.46</v>
      </c>
      <c r="P12" s="2">
        <v>0.28699999999999998</v>
      </c>
      <c r="Q12" s="2">
        <v>0.44400000000000001</v>
      </c>
      <c r="R12">
        <f t="shared" si="2"/>
        <v>0.52549999999999997</v>
      </c>
      <c r="S12">
        <f t="shared" si="3"/>
        <v>6.0093896713615022E-2</v>
      </c>
    </row>
    <row r="13" spans="1:19" x14ac:dyDescent="0.3">
      <c r="A13" s="2" t="s">
        <v>28</v>
      </c>
      <c r="B13" s="2">
        <v>3004</v>
      </c>
      <c r="C13" s="2">
        <v>3000</v>
      </c>
      <c r="D13" s="2">
        <v>4</v>
      </c>
      <c r="E13" s="2">
        <v>0.84899999999999998</v>
      </c>
      <c r="F13" s="2">
        <v>47</v>
      </c>
      <c r="G13" s="2">
        <v>364</v>
      </c>
      <c r="H13" s="2">
        <v>90</v>
      </c>
      <c r="I13" s="2">
        <v>2499</v>
      </c>
      <c r="J13" s="2">
        <v>0.114</v>
      </c>
      <c r="K13" s="2">
        <v>0.34300000000000003</v>
      </c>
      <c r="L13" s="2">
        <v>0.17199999999999999</v>
      </c>
      <c r="M13" s="2">
        <v>0.96499999999999997</v>
      </c>
      <c r="N13" s="2">
        <v>0.873</v>
      </c>
      <c r="O13" s="2">
        <v>0.91700000000000004</v>
      </c>
      <c r="P13" s="2">
        <v>0.54400000000000004</v>
      </c>
      <c r="Q13" s="2">
        <v>0.88300000000000001</v>
      </c>
      <c r="R13">
        <f t="shared" si="2"/>
        <v>0.53949999999999998</v>
      </c>
      <c r="S13">
        <f t="shared" si="3"/>
        <v>0.11435523114355231</v>
      </c>
    </row>
    <row r="20" spans="1:19" x14ac:dyDescent="0.3">
      <c r="A20" s="1" t="s">
        <v>0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  <c r="G20" s="1" t="s">
        <v>6</v>
      </c>
      <c r="H20" s="1" t="s">
        <v>7</v>
      </c>
      <c r="I20" s="1" t="s">
        <v>8</v>
      </c>
      <c r="J20" s="1" t="s">
        <v>9</v>
      </c>
      <c r="K20" s="1" t="s">
        <v>10</v>
      </c>
      <c r="L20" s="1" t="s">
        <v>11</v>
      </c>
      <c r="M20" s="1" t="s">
        <v>12</v>
      </c>
      <c r="N20" s="1" t="s">
        <v>13</v>
      </c>
      <c r="O20" s="1" t="s">
        <v>14</v>
      </c>
      <c r="P20" s="1" t="s">
        <v>15</v>
      </c>
      <c r="Q20" s="1" t="s">
        <v>16</v>
      </c>
      <c r="R20" s="7" t="s">
        <v>46</v>
      </c>
      <c r="S20" s="6" t="s">
        <v>47</v>
      </c>
    </row>
    <row r="21" spans="1:19" x14ac:dyDescent="0.3">
      <c r="A21" s="2" t="s">
        <v>18</v>
      </c>
      <c r="B21" s="2">
        <v>3004</v>
      </c>
      <c r="C21" s="2">
        <v>2996</v>
      </c>
      <c r="D21" s="2">
        <v>8</v>
      </c>
      <c r="E21" s="2">
        <v>0.74299999999999999</v>
      </c>
      <c r="F21" s="2">
        <v>88</v>
      </c>
      <c r="G21" s="2">
        <v>721</v>
      </c>
      <c r="H21" s="2">
        <v>49</v>
      </c>
      <c r="I21" s="2">
        <v>2138</v>
      </c>
      <c r="J21" s="2">
        <v>0.109</v>
      </c>
      <c r="K21" s="2">
        <v>0.64200000000000002</v>
      </c>
      <c r="L21" s="2">
        <v>0.186</v>
      </c>
      <c r="M21" s="2">
        <v>0.97799999999999998</v>
      </c>
      <c r="N21" s="2">
        <v>0.748</v>
      </c>
      <c r="O21" s="2">
        <v>0.84699999999999998</v>
      </c>
      <c r="P21" s="2">
        <v>0.51700000000000002</v>
      </c>
      <c r="Q21" s="2">
        <v>0.81699999999999995</v>
      </c>
      <c r="R21">
        <f>(J21+M21)/2</f>
        <v>0.54349999999999998</v>
      </c>
      <c r="S21">
        <f>F21/(F21+G21)</f>
        <v>0.10877626699629171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Daten</vt:lpstr>
      <vt:lpstr>Daten_Reduziert</vt:lpstr>
      <vt:lpstr>Precision, Recall, F1</vt:lpstr>
      <vt:lpstr>FP, FN, TP, TN</vt:lpstr>
      <vt:lpstr>Aussage</vt:lpstr>
      <vt:lpstr>Tabelle1</vt:lpstr>
      <vt:lpstr>Tabelle2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Heck Philipp</cp:lastModifiedBy>
  <dcterms:created xsi:type="dcterms:W3CDTF">2025-08-25T13:53:37Z</dcterms:created>
  <dcterms:modified xsi:type="dcterms:W3CDTF">2025-08-30T15:24:52Z</dcterms:modified>
</cp:coreProperties>
</file>